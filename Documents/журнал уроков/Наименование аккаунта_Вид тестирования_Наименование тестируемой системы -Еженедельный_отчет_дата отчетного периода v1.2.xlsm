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updateLinks="never" codeName="ЭтаКнига"/>
  <bookViews>
    <workbookView xWindow="0" yWindow="0" windowWidth="11655" windowHeight="7290" tabRatio="781" activeTab="4"/>
  </bookViews>
  <sheets>
    <sheet name="Титул" sheetId="8" r:id="rId1"/>
    <sheet name="Статус проекта" sheetId="44" r:id="rId2"/>
    <sheet name="Риски, инциденты, изменения" sheetId="41" r:id="rId3"/>
    <sheet name="Журнал уроков" sheetId="42" r:id="rId4"/>
    <sheet name="Журнал примененных уроков" sheetId="45" r:id="rId5"/>
    <sheet name="Команда" sheetId="16" r:id="rId6"/>
    <sheet name="Контакты" sheetId="43" r:id="rId7"/>
    <sheet name="Служебное" sheetId="38" r:id="rId8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38"/>
  <c r="B22"/>
  <c r="B21"/>
  <c r="B20" l="1"/>
  <c r="K3" i="44" l="1"/>
  <c r="D7" i="16" l="1"/>
  <c r="C7" l="1"/>
</calcChain>
</file>

<file path=xl/sharedStrings.xml><?xml version="1.0" encoding="utf-8"?>
<sst xmlns="http://schemas.openxmlformats.org/spreadsheetml/2006/main" count="269" uniqueCount="226">
  <si>
    <t>ФИО</t>
  </si>
  <si>
    <t>Дата выхода</t>
  </si>
  <si>
    <t>План</t>
  </si>
  <si>
    <t>Факт</t>
  </si>
  <si>
    <t>Роль на проекте</t>
  </si>
  <si>
    <t>№</t>
  </si>
  <si>
    <t>Статус</t>
  </si>
  <si>
    <t>РМ</t>
  </si>
  <si>
    <t>Роль в ПЛ</t>
  </si>
  <si>
    <t>Цели проекта</t>
  </si>
  <si>
    <t>Контакты</t>
  </si>
  <si>
    <t>TD</t>
  </si>
  <si>
    <t>SQE</t>
  </si>
  <si>
    <t>Состав команды_ФТ</t>
  </si>
  <si>
    <t>TA</t>
  </si>
  <si>
    <t>Закрыт</t>
  </si>
  <si>
    <t>Отчет за период</t>
  </si>
  <si>
    <t>ИНФОРМАЦИЯ О ПРОЕКТЕ</t>
  </si>
  <si>
    <t>Цель проекта</t>
  </si>
  <si>
    <t>ФИО РМ (PL)</t>
  </si>
  <si>
    <t>ФИО РМ (заказчик)</t>
  </si>
  <si>
    <t>ФИО КАМ (PL)</t>
  </si>
  <si>
    <t>ФИО Спонсора</t>
  </si>
  <si>
    <t>Обязанности</t>
  </si>
  <si>
    <t>Ответственность</t>
  </si>
  <si>
    <t>PerformanceLab</t>
  </si>
  <si>
    <t>Роль\Должность</t>
  </si>
  <si>
    <t>СТАТУС ПРОЕКТА</t>
  </si>
  <si>
    <t>Сроки</t>
  </si>
  <si>
    <t>Бюджет</t>
  </si>
  <si>
    <t>Скоуп</t>
  </si>
  <si>
    <t>Предыдущий отчет</t>
  </si>
  <si>
    <t>Текущий отчет</t>
  </si>
  <si>
    <t>Резюме для руководителей</t>
  </si>
  <si>
    <t>Низкая</t>
  </si>
  <si>
    <t>Слабое</t>
  </si>
  <si>
    <t>Средняя</t>
  </si>
  <si>
    <t>Среднее</t>
  </si>
  <si>
    <t>Высокая</t>
  </si>
  <si>
    <t>Серьезное</t>
  </si>
  <si>
    <t>Очень высокая</t>
  </si>
  <si>
    <t>Катастрофическое</t>
  </si>
  <si>
    <t>Отклонение более чем на 15%</t>
  </si>
  <si>
    <t>Risk Category</t>
  </si>
  <si>
    <t>Отклонение не более чем на 15%</t>
  </si>
  <si>
    <t>Отслеживается</t>
  </si>
  <si>
    <t>Аутсорсинг</t>
  </si>
  <si>
    <t>Отклонений нет</t>
  </si>
  <si>
    <t>Предотвращается</t>
  </si>
  <si>
    <t>Аутстаффинг</t>
  </si>
  <si>
    <t>Разработка</t>
  </si>
  <si>
    <t>Качество</t>
  </si>
  <si>
    <t>Имидж компании</t>
  </si>
  <si>
    <t>Уровень риска</t>
  </si>
  <si>
    <t>зеленый</t>
  </si>
  <si>
    <t xml:space="preserve">желтый </t>
  </si>
  <si>
    <t>красный</t>
  </si>
  <si>
    <t>Общая характеристика</t>
  </si>
  <si>
    <t>План отпусков</t>
  </si>
  <si>
    <t>Отклонение</t>
  </si>
  <si>
    <t>Прогноз</t>
  </si>
  <si>
    <t>БЮДЖЕТ ПРОЕКТА</t>
  </si>
  <si>
    <t>№ п/п</t>
  </si>
  <si>
    <t>Категория</t>
  </si>
  <si>
    <t>Статус риска</t>
  </si>
  <si>
    <t>Тип изменения</t>
  </si>
  <si>
    <t>Критичность</t>
  </si>
  <si>
    <t>Дата</t>
  </si>
  <si>
    <t>Инициатор</t>
  </si>
  <si>
    <t>РИСКИ</t>
  </si>
  <si>
    <t>ИНЦИДЕНТЫ</t>
  </si>
  <si>
    <t>Сумма</t>
  </si>
  <si>
    <t>Доп. расходы</t>
  </si>
  <si>
    <t>Всего</t>
  </si>
  <si>
    <t>Стоимость (факт)</t>
  </si>
  <si>
    <t>Стоимость (прогноз)</t>
  </si>
  <si>
    <t>План решения</t>
  </si>
  <si>
    <t>Статус договора</t>
  </si>
  <si>
    <t>Схема оплаты</t>
  </si>
  <si>
    <t xml:space="preserve">№ </t>
  </si>
  <si>
    <t>Планируется</t>
  </si>
  <si>
    <t>В работе</t>
  </si>
  <si>
    <t>Завершен</t>
  </si>
  <si>
    <t>На согласовании</t>
  </si>
  <si>
    <t>Статус инцидента</t>
  </si>
  <si>
    <t>Влияние инцидента</t>
  </si>
  <si>
    <t>Описание инцидента</t>
  </si>
  <si>
    <t>Стоимость инцидента (в ч.д.)</t>
  </si>
  <si>
    <t>Стоимость инцидента (в $)</t>
  </si>
  <si>
    <t>Описание урока</t>
  </si>
  <si>
    <t>ДОГОВОР</t>
  </si>
  <si>
    <t>ЗАКАЗ</t>
  </si>
  <si>
    <t>АКТ</t>
  </si>
  <si>
    <t>Статус заказа</t>
  </si>
  <si>
    <t>Статус акта</t>
  </si>
  <si>
    <t>Планируемая дата подписания</t>
  </si>
  <si>
    <t>Фактическая дата подписания</t>
  </si>
  <si>
    <t>3.</t>
  </si>
  <si>
    <t>4.</t>
  </si>
  <si>
    <t>5.</t>
  </si>
  <si>
    <t>6.</t>
  </si>
  <si>
    <t>7.</t>
  </si>
  <si>
    <t>Ответственный руководитель</t>
  </si>
  <si>
    <t>Главный пользователь</t>
  </si>
  <si>
    <t>Другие участники УС</t>
  </si>
  <si>
    <t>ЗАПРОСЫ НА ИЗМЕНЕНИЕ</t>
  </si>
  <si>
    <t>Аккаунт</t>
  </si>
  <si>
    <t>Проект</t>
  </si>
  <si>
    <t>Дата регистрации</t>
  </si>
  <si>
    <t>ID Риск/ инцидент</t>
  </si>
  <si>
    <t>Предлагаемое решение УС</t>
  </si>
  <si>
    <t>Результат</t>
  </si>
  <si>
    <t>% выполнения</t>
  </si>
  <si>
    <t>Задачи и результаты за отчётный период</t>
  </si>
  <si>
    <t>Задачи и результаты на следующий отчётный период</t>
  </si>
  <si>
    <t>Краткое описание риска</t>
  </si>
  <si>
    <t>№ п/п 
в Хронос</t>
  </si>
  <si>
    <t>Категории:</t>
  </si>
  <si>
    <t xml:space="preserve">Бюджет </t>
  </si>
  <si>
    <t>Риски</t>
  </si>
  <si>
    <t xml:space="preserve">Описание решения </t>
  </si>
  <si>
    <t>Описание результата</t>
  </si>
  <si>
    <t>Причина изменения</t>
  </si>
  <si>
    <t>Описание изменения</t>
  </si>
  <si>
    <t>План начала</t>
  </si>
  <si>
    <t>План окончания</t>
  </si>
  <si>
    <t>Прогноз завершения</t>
  </si>
  <si>
    <t>Факт начала</t>
  </si>
  <si>
    <t>Факт окончания</t>
  </si>
  <si>
    <t>8.</t>
  </si>
  <si>
    <t>ДАННЫЕ ДЛЯ ДИАГРАММЫ</t>
  </si>
  <si>
    <t>ЛЕГЕНДА</t>
  </si>
  <si>
    <t>ВЕРОЯТНОСТЬ РИСКА</t>
  </si>
  <si>
    <t>ВЛИЯНИЕ РИСКА</t>
  </si>
  <si>
    <t>Итого:</t>
  </si>
  <si>
    <t>PM</t>
  </si>
  <si>
    <t>Индикаторы</t>
  </si>
  <si>
    <t>Статус Артефакта</t>
  </si>
  <si>
    <t>Статус Инцидента/Риска</t>
  </si>
  <si>
    <t>УПРАВЛЯЮЩИЙ СОВЕТ</t>
  </si>
  <si>
    <t>Главные поставщики</t>
  </si>
  <si>
    <t>Кавешников К.</t>
  </si>
  <si>
    <t>Шамкин А.</t>
  </si>
  <si>
    <t>Ганич В.</t>
  </si>
  <si>
    <t xml:space="preserve"> - </t>
  </si>
  <si>
    <t>Отв-ый</t>
  </si>
  <si>
    <t>Идентифицирован</t>
  </si>
  <si>
    <t>Формат проекта</t>
  </si>
  <si>
    <t>Проекты по тестированию</t>
  </si>
  <si>
    <t>QA-консалтинг</t>
  </si>
  <si>
    <t>Комплексный пресейл</t>
  </si>
  <si>
    <t>ПЛАН</t>
  </si>
  <si>
    <t>ФАКТ</t>
  </si>
  <si>
    <t>ДОКУМЕНТЫ</t>
  </si>
  <si>
    <t>Период действия</t>
  </si>
  <si>
    <t>Роль PMO</t>
  </si>
  <si>
    <t>ADM</t>
  </si>
  <si>
    <t>SPM</t>
  </si>
  <si>
    <t>Роль от PMO</t>
  </si>
  <si>
    <t>Наименование в Хронос</t>
  </si>
  <si>
    <t>Подготовка внешней отчетности</t>
  </si>
  <si>
    <t>Внешняя отчетность</t>
  </si>
  <si>
    <t>Требуется</t>
  </si>
  <si>
    <t>Не требуется</t>
  </si>
  <si>
    <t>Статус аккаунта</t>
  </si>
  <si>
    <t>Критерии для перехода на статус</t>
  </si>
  <si>
    <t>Критерии для снижения статуса</t>
  </si>
  <si>
    <t>Описание</t>
  </si>
  <si>
    <t>Неизвестный</t>
  </si>
  <si>
    <t>Получены контакты Заказчика для начала взаимодействия</t>
  </si>
  <si>
    <t>ЛПР заявляет от отсутствии спроса на услуги</t>
  </si>
  <si>
    <t>Мы не знаем есть ли спрос на наши услуги в данном клиенте</t>
  </si>
  <si>
    <t>Потенциальный</t>
  </si>
  <si>
    <t>Произведены успешные попытки контакта. Проведена личная встреча, определены возможные направления взаимодействия, заполнена форма 1 (не менее 1 потенциального лида)
Определены ЛПР</t>
  </si>
  <si>
    <t>Прошло более 6ти месяцев с момента закрытия последнего проекта. Текущие открытые заказы не имеются.
Прошло более 6ти месяцев с момента последней встречи с ЛПР
Прошло более 2х недель с момента изменения ЛПР, при этом встречи с новым ЛПР не проведено</t>
  </si>
  <si>
    <t>В аккаунте есть спрос на наши услуги. Но мы его не обслуживаем.</t>
  </si>
  <si>
    <t>Действующий</t>
  </si>
  <si>
    <t>Оборот не менее 1 млн за 6 мес
Не менее 2х лидов за последние 6 мес.
Определены ЛПР, отвечающие за курирование наших услуг у Заказчика.</t>
  </si>
  <si>
    <t>Оборот менее 1 млн за последние 6 мес, текущие договора на сумму более 1 млн отсутствуют.
Встречи с ЛПР проводятся менее 1 раза в квартал.</t>
  </si>
  <si>
    <t>В аккаунте есть спрос на наши услуги. Продажи происходят периодически, в зависимости от текущих потребностей</t>
  </si>
  <si>
    <t>Донорный</t>
  </si>
  <si>
    <t>Оборот не менее 6 млн в квартал
Договорные отношения не менее 1 года.
Не менее 3х месяцев проводятся ежемесячные встречи с ЛПР для определения статуса проекта с последующей отчетностью Директору по продажам</t>
  </si>
  <si>
    <t>Оборот менее 6 млн в квартал, либо 12 млн в пол года.
Нарушено требование по встречам с ЛПР</t>
  </si>
  <si>
    <t>В аккаунте есть спрос на наши услуги. Мы оказываем услуги непрерывно.</t>
  </si>
  <si>
    <t>В аккаунте отсутствует спрос на наши услуги.</t>
  </si>
  <si>
    <t>Отрицательный</t>
  </si>
  <si>
    <t>4)  Другая важная информация для руководителя:</t>
  </si>
  <si>
    <t>1) Наименование текущего этапа:</t>
  </si>
  <si>
    <t>3) Краткое описание актуальных рисков:</t>
  </si>
  <si>
    <t>2) Краткое описание актуальных инцидентов:</t>
  </si>
  <si>
    <t>Дата начала проекта</t>
  </si>
  <si>
    <t xml:space="preserve"> -</t>
  </si>
  <si>
    <t>Ростелеком, Функциональное тестирование beta.gosuslugi.ru</t>
  </si>
  <si>
    <r>
      <rPr>
        <b/>
        <sz val="11"/>
        <color theme="3" tint="-0.499984740745262"/>
        <rFont val="Times New Roman"/>
        <family val="1"/>
        <charset val="204"/>
      </rPr>
      <t>Бизнес-цель заказчика:</t>
    </r>
    <r>
      <rPr>
        <sz val="11"/>
        <color theme="3" tint="-0.499984740745262"/>
        <rFont val="Times New Roman"/>
        <family val="1"/>
        <charset val="204"/>
      </rPr>
      <t xml:space="preserve"> Минимизация рисков появления критических дефектов в промышленной среде.
</t>
    </r>
    <r>
      <rPr>
        <b/>
        <sz val="11"/>
        <color theme="3" tint="-0.499984740745262"/>
        <rFont val="Times New Roman"/>
        <family val="1"/>
        <charset val="204"/>
      </rPr>
      <t>Цели проекта (наши)</t>
    </r>
    <r>
      <rPr>
        <sz val="11"/>
        <color theme="3" tint="-0.499984740745262"/>
        <rFont val="Times New Roman"/>
        <family val="1"/>
        <charset val="204"/>
      </rPr>
      <t>: Обеспечить качественное тестирвоание новых релизов и недопущение критических ошибок в продуктив.</t>
    </r>
  </si>
  <si>
    <t>с 11.05.15 по 15.05.15.</t>
  </si>
  <si>
    <t>Дата окончания проекта:</t>
  </si>
  <si>
    <t>Статус Проекта</t>
  </si>
  <si>
    <t>Статус проекта</t>
  </si>
  <si>
    <t>Заморожен</t>
  </si>
  <si>
    <t>Отменен</t>
  </si>
  <si>
    <t>1.</t>
  </si>
  <si>
    <t>2.</t>
  </si>
  <si>
    <t>Документирование</t>
  </si>
  <si>
    <t>Разработка инструментария</t>
  </si>
  <si>
    <t>Тестирование</t>
  </si>
  <si>
    <t>Закрывающая документация</t>
  </si>
  <si>
    <t>Заказчик</t>
  </si>
  <si>
    <t>Реализован</t>
  </si>
  <si>
    <t xml:space="preserve">Дата </t>
  </si>
  <si>
    <t>Автор</t>
  </si>
  <si>
    <t>Серьезность</t>
  </si>
  <si>
    <t>Событие</t>
  </si>
  <si>
    <t>Воздействие</t>
  </si>
  <si>
    <t>Влияние</t>
  </si>
  <si>
    <t>Ранние индикаторы</t>
  </si>
  <si>
    <t>Рекомендации</t>
  </si>
  <si>
    <t>Причины/ условия</t>
  </si>
  <si>
    <t>Предпосылки применения</t>
  </si>
  <si>
    <t>Описание применения</t>
  </si>
  <si>
    <t>Результаты применения</t>
  </si>
  <si>
    <t>№ нового урока</t>
  </si>
  <si>
    <t>типы уроков</t>
  </si>
  <si>
    <t>Технический</t>
  </si>
  <si>
    <t>Бюрократический</t>
  </si>
  <si>
    <t>Организационный</t>
  </si>
  <si>
    <t>№ урока в журнале уроков</t>
  </si>
</sst>
</file>

<file path=xl/styles.xml><?xml version="1.0" encoding="utf-8"?>
<styleSheet xmlns="http://schemas.openxmlformats.org/spreadsheetml/2006/main">
  <numFmts count="2">
    <numFmt numFmtId="164" formatCode="dd/mm/yy;@"/>
    <numFmt numFmtId="165" formatCode="#,##0.00\ &quot;₽&quot;"/>
  </numFmts>
  <fonts count="52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Times New Roman"/>
      <family val="2"/>
      <charset val="204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sz val="11"/>
      <color theme="3" tint="-0.499984740745262"/>
      <name val="Times New Roman"/>
      <family val="1"/>
      <charset val="204"/>
    </font>
    <font>
      <sz val="11"/>
      <color theme="3" tint="-0.499984740745262"/>
      <name val="Times New Roman"/>
      <family val="1"/>
      <charset val="204"/>
    </font>
    <font>
      <i/>
      <sz val="11"/>
      <color theme="3" tint="-0.499984740745262"/>
      <name val="Times New Roman"/>
      <family val="1"/>
      <charset val="204"/>
    </font>
    <font>
      <b/>
      <sz val="11"/>
      <color theme="0"/>
      <name val="Times New Roman"/>
      <family val="1"/>
      <charset val="204"/>
    </font>
    <font>
      <b/>
      <sz val="11"/>
      <color theme="3" tint="-0.499984740745262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3" tint="-0.499984740745262"/>
      <name val="Times New Roman"/>
      <family val="1"/>
      <charset val="204"/>
    </font>
    <font>
      <sz val="10"/>
      <color theme="3" tint="-0.499984740745262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theme="0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b/>
      <sz val="8"/>
      <color theme="3" tint="-0.499984740745262"/>
      <name val="Times New Roman"/>
      <family val="1"/>
      <charset val="204"/>
    </font>
    <font>
      <b/>
      <sz val="10"/>
      <color theme="0"/>
      <name val="Times New Roman"/>
      <family val="1"/>
      <charset val="204"/>
    </font>
    <font>
      <b/>
      <sz val="9"/>
      <color theme="0"/>
      <name val="Times New Roman"/>
      <family val="1"/>
      <charset val="204"/>
    </font>
    <font>
      <sz val="8"/>
      <name val="Arial"/>
      <family val="2"/>
    </font>
    <font>
      <b/>
      <sz val="12"/>
      <color theme="3" tint="-0.499984740745262"/>
      <name val="Times New Roman"/>
      <family val="1"/>
      <charset val="204"/>
    </font>
    <font>
      <i/>
      <sz val="10"/>
      <color theme="3" tint="-0.499984740745262"/>
      <name val="Times New Roman"/>
      <family val="1"/>
      <charset val="204"/>
    </font>
    <font>
      <i/>
      <sz val="12"/>
      <color theme="3" tint="-0.499984740745262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8"/>
      <color rgb="FF000000"/>
      <name val="Times New Roman"/>
      <family val="1"/>
      <charset val="204"/>
    </font>
    <font>
      <sz val="10"/>
      <name val="Times New Roman"/>
      <family val="1"/>
      <charset val="204"/>
    </font>
    <font>
      <b/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8"/>
      <name val="Times New Roman"/>
      <family val="1"/>
      <charset val="204"/>
    </font>
  </fonts>
  <fills count="4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1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rgb="FFC0C0C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3" fillId="0" borderId="0"/>
    <xf numFmtId="0" fontId="4" fillId="0" borderId="0"/>
    <xf numFmtId="0" fontId="3" fillId="0" borderId="0"/>
    <xf numFmtId="0" fontId="8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10" fillId="0" borderId="10" applyNumberFormat="0" applyFill="0" applyAlignment="0" applyProtection="0"/>
    <xf numFmtId="0" fontId="11" fillId="0" borderId="11" applyNumberFormat="0" applyFill="0" applyAlignment="0" applyProtection="0"/>
    <xf numFmtId="0" fontId="11" fillId="0" borderId="0" applyNumberFormat="0" applyFill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12" applyNumberFormat="0" applyAlignment="0" applyProtection="0"/>
    <xf numFmtId="0" fontId="16" fillId="9" borderId="13" applyNumberFormat="0" applyAlignment="0" applyProtection="0"/>
    <xf numFmtId="0" fontId="17" fillId="9" borderId="12" applyNumberFormat="0" applyAlignment="0" applyProtection="0"/>
    <xf numFmtId="0" fontId="18" fillId="0" borderId="14" applyNumberFormat="0" applyFill="0" applyAlignment="0" applyProtection="0"/>
    <xf numFmtId="0" fontId="19" fillId="10" borderId="15" applyNumberFormat="0" applyAlignment="0" applyProtection="0"/>
    <xf numFmtId="0" fontId="20" fillId="0" borderId="0" applyNumberFormat="0" applyFill="0" applyBorder="0" applyAlignment="0" applyProtection="0"/>
    <xf numFmtId="0" fontId="7" fillId="11" borderId="16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7" applyNumberFormat="0" applyFill="0" applyAlignment="0" applyProtection="0"/>
    <xf numFmtId="0" fontId="22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2" fillId="35" borderId="0" applyNumberFormat="0" applyBorder="0" applyAlignment="0" applyProtection="0"/>
    <xf numFmtId="0" fontId="3" fillId="0" borderId="0"/>
    <xf numFmtId="0" fontId="39" fillId="0" borderId="0"/>
  </cellStyleXfs>
  <cellXfs count="358">
    <xf numFmtId="0" fontId="0" fillId="0" borderId="0" xfId="0"/>
    <xf numFmtId="0" fontId="1" fillId="0" borderId="0" xfId="0" applyFont="1"/>
    <xf numFmtId="0" fontId="5" fillId="0" borderId="0" xfId="0" applyFont="1"/>
    <xf numFmtId="0" fontId="5" fillId="0" borderId="0" xfId="0" applyFont="1" applyFill="1"/>
    <xf numFmtId="0" fontId="5" fillId="0" borderId="0" xfId="0" applyFont="1" applyAlignment="1">
      <alignment wrapText="1"/>
    </xf>
    <xf numFmtId="0" fontId="29" fillId="0" borderId="0" xfId="0" applyFont="1" applyAlignment="1">
      <alignment wrapText="1"/>
    </xf>
    <xf numFmtId="164" fontId="29" fillId="0" borderId="0" xfId="0" applyNumberFormat="1" applyFont="1" applyAlignment="1">
      <alignment wrapText="1"/>
    </xf>
    <xf numFmtId="0" fontId="30" fillId="0" borderId="0" xfId="45" applyFont="1" applyFill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/>
    </xf>
    <xf numFmtId="49" fontId="30" fillId="0" borderId="0" xfId="45" applyNumberFormat="1" applyFont="1" applyFill="1" applyBorder="1" applyAlignment="1">
      <alignment horizontal="left" vertical="top" wrapText="1"/>
    </xf>
    <xf numFmtId="0" fontId="5" fillId="0" borderId="0" xfId="0" applyFont="1" applyFill="1" applyBorder="1"/>
    <xf numFmtId="0" fontId="24" fillId="0" borderId="0" xfId="0" applyFont="1" applyFill="1" applyBorder="1" applyAlignment="1"/>
    <xf numFmtId="0" fontId="24" fillId="0" borderId="0" xfId="0" applyFont="1" applyFill="1" applyBorder="1" applyAlignment="1">
      <alignment horizontal="left"/>
    </xf>
    <xf numFmtId="0" fontId="28" fillId="0" borderId="0" xfId="0" applyFont="1"/>
    <xf numFmtId="0" fontId="24" fillId="38" borderId="1" xfId="0" applyFont="1" applyFill="1" applyBorder="1" applyAlignment="1">
      <alignment horizontal="center" vertical="top" wrapText="1"/>
    </xf>
    <xf numFmtId="0" fontId="26" fillId="0" borderId="0" xfId="0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left" vertical="top"/>
    </xf>
    <xf numFmtId="0" fontId="6" fillId="0" borderId="0" xfId="0" applyFont="1" applyFill="1" applyBorder="1" applyAlignment="1">
      <alignment horizontal="center" vertical="top" wrapText="1"/>
    </xf>
    <xf numFmtId="0" fontId="1" fillId="0" borderId="0" xfId="0" applyFont="1" applyFill="1"/>
    <xf numFmtId="0" fontId="26" fillId="37" borderId="3" xfId="0" applyFont="1" applyFill="1" applyBorder="1" applyAlignment="1">
      <alignment horizontal="center" vertical="center"/>
    </xf>
    <xf numFmtId="0" fontId="26" fillId="37" borderId="4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left" wrapText="1"/>
    </xf>
    <xf numFmtId="0" fontId="0" fillId="0" borderId="0" xfId="0" applyFill="1"/>
    <xf numFmtId="0" fontId="34" fillId="38" borderId="50" xfId="0" applyFont="1" applyFill="1" applyBorder="1" applyAlignment="1">
      <alignment horizontal="center" vertical="top" wrapText="1"/>
    </xf>
    <xf numFmtId="2" fontId="0" fillId="0" borderId="0" xfId="0" applyNumberFormat="1"/>
    <xf numFmtId="0" fontId="28" fillId="0" borderId="0" xfId="0" applyFont="1" applyFill="1" applyBorder="1" applyAlignment="1">
      <alignment horizontal="center"/>
    </xf>
    <xf numFmtId="165" fontId="28" fillId="0" borderId="0" xfId="0" applyNumberFormat="1" applyFont="1" applyFill="1" applyBorder="1" applyAlignment="1"/>
    <xf numFmtId="0" fontId="28" fillId="0" borderId="0" xfId="0" applyFont="1" applyFill="1" applyBorder="1"/>
    <xf numFmtId="0" fontId="28" fillId="0" borderId="0" xfId="0" applyFont="1" applyFill="1" applyBorder="1" applyAlignment="1"/>
    <xf numFmtId="0" fontId="19" fillId="37" borderId="48" xfId="0" applyFont="1" applyFill="1" applyBorder="1"/>
    <xf numFmtId="0" fontId="19" fillId="37" borderId="49" xfId="0" applyFont="1" applyFill="1" applyBorder="1"/>
    <xf numFmtId="0" fontId="19" fillId="37" borderId="74" xfId="0" applyFont="1" applyFill="1" applyBorder="1"/>
    <xf numFmtId="0" fontId="28" fillId="38" borderId="54" xfId="0" applyFont="1" applyFill="1" applyBorder="1"/>
    <xf numFmtId="0" fontId="28" fillId="38" borderId="49" xfId="0" applyFont="1" applyFill="1" applyBorder="1" applyAlignment="1"/>
    <xf numFmtId="165" fontId="28" fillId="0" borderId="49" xfId="0" applyNumberFormat="1" applyFont="1" applyFill="1" applyBorder="1" applyAlignment="1">
      <alignment wrapText="1"/>
    </xf>
    <xf numFmtId="0" fontId="28" fillId="38" borderId="49" xfId="0" applyFont="1" applyFill="1" applyBorder="1" applyAlignment="1">
      <alignment horizontal="center"/>
    </xf>
    <xf numFmtId="0" fontId="33" fillId="42" borderId="23" xfId="0" applyFont="1" applyFill="1" applyBorder="1" applyAlignment="1">
      <alignment horizontal="center" vertical="center"/>
    </xf>
    <xf numFmtId="0" fontId="33" fillId="42" borderId="5" xfId="0" applyFont="1" applyFill="1" applyBorder="1" applyAlignment="1">
      <alignment horizontal="center" vertical="center"/>
    </xf>
    <xf numFmtId="0" fontId="33" fillId="42" borderId="29" xfId="0" applyFont="1" applyFill="1" applyBorder="1" applyAlignment="1">
      <alignment horizontal="center" vertical="center"/>
    </xf>
    <xf numFmtId="0" fontId="33" fillId="42" borderId="75" xfId="0" applyFont="1" applyFill="1" applyBorder="1" applyAlignment="1">
      <alignment horizontal="center" vertical="center"/>
    </xf>
    <xf numFmtId="0" fontId="33" fillId="42" borderId="20" xfId="0" applyFont="1" applyFill="1" applyBorder="1" applyAlignment="1">
      <alignment horizontal="center" vertical="center"/>
    </xf>
    <xf numFmtId="0" fontId="33" fillId="42" borderId="8" xfId="0" applyFont="1" applyFill="1" applyBorder="1" applyAlignment="1">
      <alignment horizontal="center" vertical="center"/>
    </xf>
    <xf numFmtId="0" fontId="33" fillId="42" borderId="24" xfId="0" applyFont="1" applyFill="1" applyBorder="1" applyAlignment="1">
      <alignment horizontal="center" vertical="center"/>
    </xf>
    <xf numFmtId="0" fontId="33" fillId="42" borderId="76" xfId="0" applyFont="1" applyFill="1" applyBorder="1" applyAlignment="1">
      <alignment horizontal="center" vertical="center"/>
    </xf>
    <xf numFmtId="0" fontId="0" fillId="42" borderId="18" xfId="0" applyFill="1" applyBorder="1"/>
    <xf numFmtId="0" fontId="24" fillId="42" borderId="45" xfId="0" applyFont="1" applyFill="1" applyBorder="1" applyAlignment="1">
      <alignment horizontal="left" vertical="top"/>
    </xf>
    <xf numFmtId="0" fontId="24" fillId="42" borderId="3" xfId="0" applyFont="1" applyFill="1" applyBorder="1" applyAlignment="1">
      <alignment horizontal="left" vertical="top"/>
    </xf>
    <xf numFmtId="0" fontId="0" fillId="42" borderId="59" xfId="0" applyFill="1" applyBorder="1"/>
    <xf numFmtId="0" fontId="0" fillId="42" borderId="19" xfId="0" applyFill="1" applyBorder="1"/>
    <xf numFmtId="0" fontId="24" fillId="42" borderId="5" xfId="0" applyFont="1" applyFill="1" applyBorder="1" applyAlignment="1">
      <alignment horizontal="left" vertical="top"/>
    </xf>
    <xf numFmtId="0" fontId="30" fillId="42" borderId="5" xfId="45" applyFont="1" applyFill="1" applyBorder="1" applyAlignment="1">
      <alignment horizontal="left" vertical="top" wrapText="1"/>
    </xf>
    <xf numFmtId="0" fontId="24" fillId="42" borderId="26" xfId="0" applyFont="1" applyFill="1" applyBorder="1" applyAlignment="1">
      <alignment horizontal="left" vertical="top"/>
    </xf>
    <xf numFmtId="0" fontId="30" fillId="42" borderId="26" xfId="45" applyFont="1" applyFill="1" applyBorder="1" applyAlignment="1">
      <alignment horizontal="left" vertical="top" wrapText="1"/>
    </xf>
    <xf numFmtId="0" fontId="36" fillId="42" borderId="5" xfId="45" applyFont="1" applyFill="1" applyBorder="1" applyAlignment="1">
      <alignment horizontal="center" vertical="center" wrapText="1"/>
    </xf>
    <xf numFmtId="0" fontId="24" fillId="42" borderId="1" xfId="0" applyFont="1" applyFill="1" applyBorder="1" applyAlignment="1">
      <alignment horizontal="left" vertical="top"/>
    </xf>
    <xf numFmtId="0" fontId="30" fillId="42" borderId="1" xfId="45" applyFont="1" applyFill="1" applyBorder="1" applyAlignment="1">
      <alignment horizontal="left" vertical="top" wrapText="1"/>
    </xf>
    <xf numFmtId="0" fontId="29" fillId="42" borderId="5" xfId="0" applyFont="1" applyFill="1" applyBorder="1" applyAlignment="1">
      <alignment horizontal="left" wrapText="1"/>
    </xf>
    <xf numFmtId="0" fontId="29" fillId="42" borderId="5" xfId="0" applyFont="1" applyFill="1" applyBorder="1" applyAlignment="1">
      <alignment wrapText="1"/>
    </xf>
    <xf numFmtId="164" fontId="29" fillId="42" borderId="5" xfId="0" applyNumberFormat="1" applyFont="1" applyFill="1" applyBorder="1" applyAlignment="1">
      <alignment horizontal="left" wrapText="1"/>
    </xf>
    <xf numFmtId="0" fontId="35" fillId="42" borderId="5" xfId="0" applyFont="1" applyFill="1" applyBorder="1" applyAlignment="1">
      <alignment horizontal="left" wrapText="1"/>
    </xf>
    <xf numFmtId="14" fontId="29" fillId="42" borderId="5" xfId="0" applyNumberFormat="1" applyFont="1" applyFill="1" applyBorder="1" applyAlignment="1">
      <alignment horizontal="left" wrapText="1"/>
    </xf>
    <xf numFmtId="0" fontId="29" fillId="42" borderId="26" xfId="0" applyFont="1" applyFill="1" applyBorder="1" applyAlignment="1">
      <alignment horizontal="left" wrapText="1"/>
    </xf>
    <xf numFmtId="0" fontId="29" fillId="42" borderId="26" xfId="0" applyFont="1" applyFill="1" applyBorder="1" applyAlignment="1">
      <alignment wrapText="1"/>
    </xf>
    <xf numFmtId="164" fontId="29" fillId="42" borderId="26" xfId="0" applyNumberFormat="1" applyFont="1" applyFill="1" applyBorder="1" applyAlignment="1">
      <alignment horizontal="left" wrapText="1"/>
    </xf>
    <xf numFmtId="0" fontId="28" fillId="42" borderId="58" xfId="0" applyFont="1" applyFill="1" applyBorder="1" applyAlignment="1">
      <alignment horizontal="left" vertical="top" wrapText="1"/>
    </xf>
    <xf numFmtId="0" fontId="28" fillId="42" borderId="2" xfId="0" applyFont="1" applyFill="1" applyBorder="1" applyAlignment="1">
      <alignment horizontal="left" vertical="top" wrapText="1"/>
    </xf>
    <xf numFmtId="0" fontId="28" fillId="42" borderId="59" xfId="0" applyFont="1" applyFill="1" applyBorder="1" applyAlignment="1">
      <alignment horizontal="left" vertical="top" wrapText="1"/>
    </xf>
    <xf numFmtId="0" fontId="31" fillId="42" borderId="75" xfId="0" applyFont="1" applyFill="1" applyBorder="1" applyAlignment="1">
      <alignment horizontal="left"/>
    </xf>
    <xf numFmtId="0" fontId="31" fillId="42" borderId="84" xfId="0" applyFont="1" applyFill="1" applyBorder="1" applyAlignment="1">
      <alignment horizontal="left"/>
    </xf>
    <xf numFmtId="0" fontId="31" fillId="42" borderId="76" xfId="0" applyFont="1" applyFill="1" applyBorder="1" applyAlignment="1">
      <alignment horizontal="left"/>
    </xf>
    <xf numFmtId="0" fontId="31" fillId="42" borderId="83" xfId="0" applyFont="1" applyFill="1" applyBorder="1" applyAlignment="1">
      <alignment horizontal="left"/>
    </xf>
    <xf numFmtId="0" fontId="24" fillId="42" borderId="69" xfId="0" applyFont="1" applyFill="1" applyBorder="1" applyAlignment="1">
      <alignment horizontal="center"/>
    </xf>
    <xf numFmtId="0" fontId="24" fillId="42" borderId="28" xfId="0" applyFont="1" applyFill="1" applyBorder="1" applyAlignment="1">
      <alignment horizontal="center"/>
    </xf>
    <xf numFmtId="0" fontId="24" fillId="42" borderId="20" xfId="0" applyFont="1" applyFill="1" applyBorder="1" applyAlignment="1">
      <alignment horizontal="center"/>
    </xf>
    <xf numFmtId="0" fontId="31" fillId="42" borderId="78" xfId="0" applyFont="1" applyFill="1" applyBorder="1" applyAlignment="1">
      <alignment horizontal="left"/>
    </xf>
    <xf numFmtId="0" fontId="37" fillId="37" borderId="7" xfId="0" applyFont="1" applyFill="1" applyBorder="1" applyAlignment="1">
      <alignment vertical="center" wrapText="1"/>
    </xf>
    <xf numFmtId="0" fontId="38" fillId="37" borderId="8" xfId="45" applyFont="1" applyFill="1" applyBorder="1" applyAlignment="1">
      <alignment horizontal="center" vertical="center" wrapText="1"/>
    </xf>
    <xf numFmtId="0" fontId="37" fillId="37" borderId="8" xfId="45" applyFont="1" applyFill="1" applyBorder="1" applyAlignment="1">
      <alignment horizontal="center" vertical="center" wrapText="1"/>
    </xf>
    <xf numFmtId="0" fontId="37" fillId="37" borderId="7" xfId="0" applyFont="1" applyFill="1" applyBorder="1" applyAlignment="1">
      <alignment vertical="center"/>
    </xf>
    <xf numFmtId="0" fontId="38" fillId="37" borderId="19" xfId="45" applyFont="1" applyFill="1" applyBorder="1" applyAlignment="1">
      <alignment horizontal="center" vertical="center" wrapText="1"/>
    </xf>
    <xf numFmtId="0" fontId="37" fillId="37" borderId="8" xfId="0" applyFont="1" applyFill="1" applyBorder="1" applyAlignment="1">
      <alignment horizontal="center" vertical="center" wrapText="1"/>
    </xf>
    <xf numFmtId="3" fontId="28" fillId="42" borderId="50" xfId="0" applyNumberFormat="1" applyFont="1" applyFill="1" applyBorder="1" applyAlignment="1">
      <alignment horizontal="center"/>
    </xf>
    <xf numFmtId="0" fontId="26" fillId="37" borderId="55" xfId="0" applyFont="1" applyFill="1" applyBorder="1" applyAlignment="1">
      <alignment horizontal="left"/>
    </xf>
    <xf numFmtId="0" fontId="26" fillId="37" borderId="43" xfId="0" applyFont="1" applyFill="1" applyBorder="1" applyAlignment="1">
      <alignment horizontal="center"/>
    </xf>
    <xf numFmtId="0" fontId="26" fillId="37" borderId="44" xfId="0" applyFont="1" applyFill="1" applyBorder="1" applyAlignment="1">
      <alignment horizontal="center"/>
    </xf>
    <xf numFmtId="0" fontId="26" fillId="37" borderId="6" xfId="0" applyFont="1" applyFill="1" applyBorder="1" applyAlignment="1">
      <alignment horizontal="left"/>
    </xf>
    <xf numFmtId="0" fontId="26" fillId="37" borderId="2" xfId="0" applyFont="1" applyFill="1" applyBorder="1" applyAlignment="1">
      <alignment horizontal="center"/>
    </xf>
    <xf numFmtId="0" fontId="26" fillId="37" borderId="26" xfId="0" applyFont="1" applyFill="1" applyBorder="1" applyAlignment="1">
      <alignment horizontal="center"/>
    </xf>
    <xf numFmtId="0" fontId="26" fillId="37" borderId="18" xfId="0" applyFont="1" applyFill="1" applyBorder="1" applyAlignment="1">
      <alignment horizontal="center"/>
    </xf>
    <xf numFmtId="0" fontId="26" fillId="37" borderId="6" xfId="0" applyFont="1" applyFill="1" applyBorder="1" applyAlignment="1">
      <alignment horizontal="left" vertical="top"/>
    </xf>
    <xf numFmtId="0" fontId="26" fillId="37" borderId="5" xfId="0" applyFont="1" applyFill="1" applyBorder="1" applyAlignment="1">
      <alignment horizontal="center" vertical="top"/>
    </xf>
    <xf numFmtId="0" fontId="26" fillId="37" borderId="26" xfId="0" applyFont="1" applyFill="1" applyBorder="1" applyAlignment="1">
      <alignment horizontal="center" vertical="top"/>
    </xf>
    <xf numFmtId="0" fontId="26" fillId="37" borderId="26" xfId="0" applyFont="1" applyFill="1" applyBorder="1" applyAlignment="1">
      <alignment horizontal="center" vertical="top" wrapText="1"/>
    </xf>
    <xf numFmtId="0" fontId="26" fillId="37" borderId="18" xfId="0" applyFont="1" applyFill="1" applyBorder="1" applyAlignment="1">
      <alignment horizontal="center" vertical="top"/>
    </xf>
    <xf numFmtId="0" fontId="26" fillId="37" borderId="5" xfId="0" applyFont="1" applyFill="1" applyBorder="1" applyAlignment="1">
      <alignment horizontal="center"/>
    </xf>
    <xf numFmtId="0" fontId="24" fillId="42" borderId="18" xfId="0" applyFont="1" applyFill="1" applyBorder="1" applyAlignment="1"/>
    <xf numFmtId="0" fontId="27" fillId="38" borderId="77" xfId="0" applyFont="1" applyFill="1" applyBorder="1" applyAlignment="1">
      <alignment horizontal="left" vertical="center"/>
    </xf>
    <xf numFmtId="165" fontId="28" fillId="42" borderId="26" xfId="0" applyNumberFormat="1" applyFont="1" applyFill="1" applyBorder="1" applyAlignment="1">
      <alignment wrapText="1"/>
    </xf>
    <xf numFmtId="165" fontId="28" fillId="42" borderId="18" xfId="0" applyNumberFormat="1" applyFont="1" applyFill="1" applyBorder="1" applyAlignment="1">
      <alignment wrapText="1"/>
    </xf>
    <xf numFmtId="165" fontId="28" fillId="42" borderId="6" xfId="0" applyNumberFormat="1" applyFont="1" applyFill="1" applyBorder="1" applyAlignment="1">
      <alignment wrapText="1"/>
    </xf>
    <xf numFmtId="165" fontId="28" fillId="42" borderId="7" xfId="0" applyNumberFormat="1" applyFont="1" applyFill="1" applyBorder="1" applyAlignment="1">
      <alignment wrapText="1"/>
    </xf>
    <xf numFmtId="165" fontId="28" fillId="42" borderId="8" xfId="0" applyNumberFormat="1" applyFont="1" applyFill="1" applyBorder="1" applyAlignment="1">
      <alignment wrapText="1"/>
    </xf>
    <xf numFmtId="165" fontId="28" fillId="42" borderId="19" xfId="0" applyNumberFormat="1" applyFont="1" applyFill="1" applyBorder="1" applyAlignment="1">
      <alignment wrapText="1"/>
    </xf>
    <xf numFmtId="0" fontId="24" fillId="42" borderId="19" xfId="0" applyFont="1" applyFill="1" applyBorder="1" applyAlignment="1"/>
    <xf numFmtId="0" fontId="28" fillId="42" borderId="52" xfId="0" applyFont="1" applyFill="1" applyBorder="1" applyAlignment="1">
      <alignment vertical="top" wrapText="1"/>
    </xf>
    <xf numFmtId="0" fontId="28" fillId="42" borderId="0" xfId="0" applyFont="1" applyFill="1" applyBorder="1" applyAlignment="1">
      <alignment vertical="top" wrapText="1"/>
    </xf>
    <xf numFmtId="0" fontId="28" fillId="42" borderId="53" xfId="0" applyFont="1" applyFill="1" applyBorder="1" applyAlignment="1">
      <alignment vertical="top" wrapText="1"/>
    </xf>
    <xf numFmtId="9" fontId="0" fillId="42" borderId="47" xfId="0" applyNumberFormat="1" applyFill="1" applyBorder="1"/>
    <xf numFmtId="9" fontId="0" fillId="42" borderId="18" xfId="0" applyNumberFormat="1" applyFill="1" applyBorder="1"/>
    <xf numFmtId="0" fontId="27" fillId="38" borderId="6" xfId="0" applyFont="1" applyFill="1" applyBorder="1" applyAlignment="1">
      <alignment horizontal="left"/>
    </xf>
    <xf numFmtId="0" fontId="27" fillId="38" borderId="7" xfId="0" applyFont="1" applyFill="1" applyBorder="1" applyAlignment="1">
      <alignment horizontal="left"/>
    </xf>
    <xf numFmtId="0" fontId="24" fillId="42" borderId="8" xfId="0" applyFont="1" applyFill="1" applyBorder="1" applyAlignment="1"/>
    <xf numFmtId="0" fontId="41" fillId="42" borderId="8" xfId="0" applyFont="1" applyFill="1" applyBorder="1" applyAlignment="1">
      <alignment vertical="center"/>
    </xf>
    <xf numFmtId="0" fontId="27" fillId="42" borderId="43" xfId="0" applyFont="1" applyFill="1" applyBorder="1" applyAlignment="1">
      <alignment horizontal="center" vertical="top"/>
    </xf>
    <xf numFmtId="0" fontId="27" fillId="42" borderId="44" xfId="0" applyFont="1" applyFill="1" applyBorder="1" applyAlignment="1">
      <alignment horizontal="center" vertical="top"/>
    </xf>
    <xf numFmtId="0" fontId="24" fillId="42" borderId="47" xfId="0" applyFont="1" applyFill="1" applyBorder="1" applyAlignment="1"/>
    <xf numFmtId="0" fontId="27" fillId="38" borderId="54" xfId="0" applyFont="1" applyFill="1" applyBorder="1" applyAlignment="1">
      <alignment horizontal="left"/>
    </xf>
    <xf numFmtId="0" fontId="27" fillId="38" borderId="25" xfId="0" applyFont="1" applyFill="1" applyBorder="1" applyAlignment="1">
      <alignment horizontal="left"/>
    </xf>
    <xf numFmtId="0" fontId="24" fillId="42" borderId="50" xfId="0" applyFont="1" applyFill="1" applyBorder="1" applyAlignment="1"/>
    <xf numFmtId="0" fontId="27" fillId="42" borderId="69" xfId="0" applyFont="1" applyFill="1" applyBorder="1" applyAlignment="1">
      <alignment horizontal="center" vertical="top"/>
    </xf>
    <xf numFmtId="0" fontId="24" fillId="42" borderId="20" xfId="0" applyFont="1" applyFill="1" applyBorder="1" applyAlignment="1"/>
    <xf numFmtId="0" fontId="26" fillId="37" borderId="31" xfId="0" applyFont="1" applyFill="1" applyBorder="1" applyAlignment="1">
      <alignment horizontal="center" vertical="center" wrapText="1"/>
    </xf>
    <xf numFmtId="0" fontId="29" fillId="42" borderId="26" xfId="0" applyFont="1" applyFill="1" applyBorder="1" applyAlignment="1">
      <alignment horizontal="left" wrapText="1"/>
    </xf>
    <xf numFmtId="0" fontId="28" fillId="42" borderId="50" xfId="0" applyFont="1" applyFill="1" applyBorder="1"/>
    <xf numFmtId="0" fontId="28" fillId="42" borderId="5" xfId="0" applyFont="1" applyFill="1" applyBorder="1" applyAlignment="1">
      <alignment horizontal="center" vertical="center"/>
    </xf>
    <xf numFmtId="0" fontId="28" fillId="42" borderId="26" xfId="0" applyFont="1" applyFill="1" applyBorder="1" applyAlignment="1">
      <alignment horizontal="center" vertical="center"/>
    </xf>
    <xf numFmtId="0" fontId="28" fillId="42" borderId="52" xfId="0" applyFont="1" applyFill="1" applyBorder="1"/>
    <xf numFmtId="0" fontId="42" fillId="42" borderId="43" xfId="0" applyFont="1" applyFill="1" applyBorder="1" applyAlignment="1">
      <alignment vertical="center"/>
    </xf>
    <xf numFmtId="0" fontId="26" fillId="37" borderId="32" xfId="0" applyFont="1" applyFill="1" applyBorder="1" applyAlignment="1">
      <alignment horizontal="center" vertical="center" wrapText="1"/>
    </xf>
    <xf numFmtId="0" fontId="26" fillId="37" borderId="68" xfId="0" applyFont="1" applyFill="1" applyBorder="1" applyAlignment="1">
      <alignment vertical="center" wrapText="1"/>
    </xf>
    <xf numFmtId="0" fontId="28" fillId="2" borderId="55" xfId="0" applyFont="1" applyFill="1" applyBorder="1"/>
    <xf numFmtId="0" fontId="28" fillId="2" borderId="69" xfId="0" applyFont="1" applyFill="1" applyBorder="1" applyAlignment="1">
      <alignment vertical="top" wrapText="1"/>
    </xf>
    <xf numFmtId="0" fontId="28" fillId="2" borderId="43" xfId="0" applyFont="1" applyFill="1" applyBorder="1" applyAlignment="1">
      <alignment vertical="top" wrapText="1"/>
    </xf>
    <xf numFmtId="0" fontId="28" fillId="2" borderId="44" xfId="0" applyFont="1" applyFill="1" applyBorder="1" applyAlignment="1">
      <alignment vertical="top" wrapText="1"/>
    </xf>
    <xf numFmtId="0" fontId="28" fillId="41" borderId="6" xfId="0" applyFont="1" applyFill="1" applyBorder="1"/>
    <xf numFmtId="14" fontId="28" fillId="42" borderId="60" xfId="0" applyNumberFormat="1" applyFont="1" applyFill="1" applyBorder="1"/>
    <xf numFmtId="14" fontId="28" fillId="42" borderId="61" xfId="0" applyNumberFormat="1" applyFont="1" applyFill="1" applyBorder="1"/>
    <xf numFmtId="14" fontId="28" fillId="42" borderId="70" xfId="0" applyNumberFormat="1" applyFont="1" applyFill="1" applyBorder="1"/>
    <xf numFmtId="14" fontId="28" fillId="42" borderId="62" xfId="0" applyNumberFormat="1" applyFont="1" applyFill="1" applyBorder="1"/>
    <xf numFmtId="14" fontId="28" fillId="42" borderId="63" xfId="0" applyNumberFormat="1" applyFont="1" applyFill="1" applyBorder="1"/>
    <xf numFmtId="14" fontId="28" fillId="42" borderId="71" xfId="0" applyNumberFormat="1" applyFont="1" applyFill="1" applyBorder="1"/>
    <xf numFmtId="0" fontId="28" fillId="41" borderId="7" xfId="0" applyFont="1" applyFill="1" applyBorder="1"/>
    <xf numFmtId="14" fontId="28" fillId="42" borderId="88" xfId="0" applyNumberFormat="1" applyFont="1" applyFill="1" applyBorder="1"/>
    <xf numFmtId="14" fontId="28" fillId="42" borderId="89" xfId="0" applyNumberFormat="1" applyFont="1" applyFill="1" applyBorder="1"/>
    <xf numFmtId="14" fontId="28" fillId="42" borderId="72" xfId="0" applyNumberFormat="1" applyFont="1" applyFill="1" applyBorder="1"/>
    <xf numFmtId="0" fontId="37" fillId="37" borderId="1" xfId="0" applyFont="1" applyFill="1" applyBorder="1" applyAlignment="1">
      <alignment vertical="center" wrapText="1"/>
    </xf>
    <xf numFmtId="0" fontId="37" fillId="37" borderId="1" xfId="0" applyFont="1" applyFill="1" applyBorder="1" applyAlignment="1">
      <alignment horizontal="center" vertical="center" wrapText="1"/>
    </xf>
    <xf numFmtId="0" fontId="44" fillId="42" borderId="1" xfId="0" applyFont="1" applyFill="1" applyBorder="1" applyAlignment="1">
      <alignment vertical="center" wrapText="1"/>
    </xf>
    <xf numFmtId="0" fontId="44" fillId="42" borderId="1" xfId="0" applyFont="1" applyFill="1" applyBorder="1" applyAlignment="1">
      <alignment horizontal="right" vertical="center" wrapText="1"/>
    </xf>
    <xf numFmtId="0" fontId="37" fillId="37" borderId="1" xfId="0" applyFont="1" applyFill="1" applyBorder="1" applyAlignment="1">
      <alignment horizontal="right" vertical="center" wrapText="1"/>
    </xf>
    <xf numFmtId="0" fontId="37" fillId="37" borderId="2" xfId="0" applyFont="1" applyFill="1" applyBorder="1" applyAlignment="1">
      <alignment horizontal="center" vertical="top" wrapText="1"/>
    </xf>
    <xf numFmtId="0" fontId="37" fillId="37" borderId="1" xfId="0" applyFont="1" applyFill="1" applyBorder="1" applyAlignment="1">
      <alignment horizontal="center" vertical="top" wrapText="1"/>
    </xf>
    <xf numFmtId="0" fontId="29" fillId="42" borderId="1" xfId="0" applyFont="1" applyFill="1" applyBorder="1" applyAlignment="1">
      <alignment horizontal="center" vertical="top"/>
    </xf>
    <xf numFmtId="0" fontId="29" fillId="42" borderId="1" xfId="0" applyFont="1" applyFill="1" applyBorder="1" applyAlignment="1">
      <alignment horizontal="left" vertical="top" wrapText="1"/>
    </xf>
    <xf numFmtId="0" fontId="29" fillId="42" borderId="1" xfId="0" applyFont="1" applyFill="1" applyBorder="1" applyAlignment="1">
      <alignment horizontal="left" vertical="top"/>
    </xf>
    <xf numFmtId="0" fontId="29" fillId="42" borderId="1" xfId="0" applyFont="1" applyFill="1" applyBorder="1"/>
    <xf numFmtId="14" fontId="29" fillId="42" borderId="1" xfId="0" applyNumberFormat="1" applyFont="1" applyFill="1" applyBorder="1" applyAlignment="1">
      <alignment horizontal="left" vertical="top"/>
    </xf>
    <xf numFmtId="0" fontId="26" fillId="37" borderId="7" xfId="0" applyFont="1" applyFill="1" applyBorder="1" applyAlignment="1">
      <alignment horizontal="center" vertical="top" wrapText="1"/>
    </xf>
    <xf numFmtId="0" fontId="26" fillId="37" borderId="8" xfId="0" applyFont="1" applyFill="1" applyBorder="1" applyAlignment="1">
      <alignment horizontal="center" vertical="top" wrapText="1"/>
    </xf>
    <xf numFmtId="0" fontId="26" fillId="37" borderId="19" xfId="0" applyFont="1" applyFill="1" applyBorder="1" applyAlignment="1">
      <alignment horizontal="center" vertical="top" wrapText="1"/>
    </xf>
    <xf numFmtId="0" fontId="46" fillId="0" borderId="26" xfId="0" applyFont="1" applyBorder="1" applyAlignment="1">
      <alignment horizontal="left" vertical="center" wrapText="1"/>
    </xf>
    <xf numFmtId="0" fontId="47" fillId="0" borderId="26" xfId="0" applyFont="1" applyFill="1" applyBorder="1" applyAlignment="1">
      <alignment horizontal="center" vertical="center" wrapText="1"/>
    </xf>
    <xf numFmtId="0" fontId="26" fillId="37" borderId="73" xfId="0" applyFont="1" applyFill="1" applyBorder="1"/>
    <xf numFmtId="0" fontId="37" fillId="37" borderId="73" xfId="0" applyFont="1" applyFill="1" applyBorder="1"/>
    <xf numFmtId="0" fontId="29" fillId="42" borderId="83" xfId="0" applyFont="1" applyFill="1" applyBorder="1"/>
    <xf numFmtId="0" fontId="48" fillId="42" borderId="75" xfId="0" applyFont="1" applyFill="1" applyBorder="1"/>
    <xf numFmtId="0" fontId="29" fillId="42" borderId="84" xfId="0" applyFont="1" applyFill="1" applyBorder="1"/>
    <xf numFmtId="0" fontId="29" fillId="42" borderId="76" xfId="0" applyFont="1" applyFill="1" applyBorder="1"/>
    <xf numFmtId="0" fontId="37" fillId="37" borderId="8" xfId="0" applyFont="1" applyFill="1" applyBorder="1" applyAlignment="1">
      <alignment horizontal="center"/>
    </xf>
    <xf numFmtId="0" fontId="37" fillId="37" borderId="19" xfId="0" applyFont="1" applyFill="1" applyBorder="1" applyAlignment="1">
      <alignment horizontal="center"/>
    </xf>
    <xf numFmtId="0" fontId="49" fillId="42" borderId="25" xfId="0" applyFont="1" applyFill="1" applyBorder="1"/>
    <xf numFmtId="0" fontId="48" fillId="36" borderId="5" xfId="0" applyFont="1" applyFill="1" applyBorder="1"/>
    <xf numFmtId="0" fontId="48" fillId="4" borderId="5" xfId="0" applyFont="1" applyFill="1" applyBorder="1"/>
    <xf numFmtId="0" fontId="48" fillId="39" borderId="47" xfId="0" applyFont="1" applyFill="1" applyBorder="1"/>
    <xf numFmtId="0" fontId="49" fillId="36" borderId="80" xfId="0" applyFont="1" applyFill="1" applyBorder="1"/>
    <xf numFmtId="0" fontId="49" fillId="42" borderId="6" xfId="0" applyFont="1" applyFill="1" applyBorder="1"/>
    <xf numFmtId="0" fontId="48" fillId="36" borderId="26" xfId="0" applyFont="1" applyFill="1" applyBorder="1"/>
    <xf numFmtId="0" fontId="48" fillId="4" borderId="26" xfId="0" applyFont="1" applyFill="1" applyBorder="1"/>
    <xf numFmtId="0" fontId="48" fillId="39" borderId="26" xfId="0" applyFont="1" applyFill="1" applyBorder="1"/>
    <xf numFmtId="0" fontId="48" fillId="39" borderId="18" xfId="0" applyFont="1" applyFill="1" applyBorder="1"/>
    <xf numFmtId="0" fontId="49" fillId="4" borderId="80" xfId="0" applyFont="1" applyFill="1" applyBorder="1"/>
    <xf numFmtId="0" fontId="49" fillId="39" borderId="78" xfId="0" applyFont="1" applyFill="1" applyBorder="1"/>
    <xf numFmtId="0" fontId="49" fillId="42" borderId="7" xfId="0" applyFont="1" applyFill="1" applyBorder="1"/>
    <xf numFmtId="0" fontId="48" fillId="4" borderId="8" xfId="0" applyFont="1" applyFill="1" applyBorder="1"/>
    <xf numFmtId="0" fontId="48" fillId="39" borderId="8" xfId="0" applyFont="1" applyFill="1" applyBorder="1"/>
    <xf numFmtId="0" fontId="48" fillId="39" borderId="19" xfId="0" applyFont="1" applyFill="1" applyBorder="1"/>
    <xf numFmtId="0" fontId="28" fillId="0" borderId="0" xfId="0" applyFont="1" applyFill="1"/>
    <xf numFmtId="0" fontId="48" fillId="39" borderId="55" xfId="0" applyFont="1" applyFill="1" applyBorder="1"/>
    <xf numFmtId="0" fontId="48" fillId="4" borderId="6" xfId="0" applyFont="1" applyFill="1" applyBorder="1"/>
    <xf numFmtId="0" fontId="48" fillId="36" borderId="7" xfId="0" applyFont="1" applyFill="1" applyBorder="1"/>
    <xf numFmtId="0" fontId="48" fillId="0" borderId="0" xfId="0" applyFont="1" applyFill="1"/>
    <xf numFmtId="0" fontId="26" fillId="37" borderId="26" xfId="46" applyFont="1" applyFill="1" applyBorder="1" applyAlignment="1">
      <alignment horizontal="center" vertical="center" wrapText="1"/>
    </xf>
    <xf numFmtId="0" fontId="50" fillId="42" borderId="26" xfId="46" applyFont="1" applyFill="1" applyBorder="1" applyAlignment="1">
      <alignment horizontal="center" vertical="center"/>
    </xf>
    <xf numFmtId="0" fontId="51" fillId="42" borderId="26" xfId="46" applyFont="1" applyFill="1" applyBorder="1" applyAlignment="1">
      <alignment horizontal="center" vertical="center"/>
    </xf>
    <xf numFmtId="0" fontId="26" fillId="37" borderId="26" xfId="0" applyFont="1" applyFill="1" applyBorder="1" applyAlignment="1">
      <alignment horizontal="center" wrapText="1"/>
    </xf>
    <xf numFmtId="0" fontId="48" fillId="42" borderId="26" xfId="0" applyFont="1" applyFill="1" applyBorder="1" applyAlignment="1">
      <alignment horizontal="left" wrapText="1"/>
    </xf>
    <xf numFmtId="0" fontId="29" fillId="42" borderId="26" xfId="0" applyFont="1" applyFill="1" applyBorder="1" applyAlignment="1">
      <alignment horizontal="left" wrapText="1"/>
    </xf>
    <xf numFmtId="0" fontId="29" fillId="42" borderId="26" xfId="0" applyFont="1" applyFill="1" applyBorder="1" applyAlignment="1">
      <alignment horizontal="left" wrapText="1"/>
    </xf>
    <xf numFmtId="0" fontId="26" fillId="40" borderId="35" xfId="0" applyFont="1" applyFill="1" applyBorder="1" applyAlignment="1" applyProtection="1">
      <alignment horizontal="center" vertical="top" wrapText="1"/>
    </xf>
    <xf numFmtId="0" fontId="26" fillId="40" borderId="36" xfId="0" applyFont="1" applyFill="1" applyBorder="1" applyAlignment="1" applyProtection="1">
      <alignment horizontal="center" vertical="top" wrapText="1"/>
    </xf>
    <xf numFmtId="0" fontId="26" fillId="40" borderId="37" xfId="0" applyFont="1" applyFill="1" applyBorder="1" applyAlignment="1" applyProtection="1">
      <alignment horizontal="center" vertical="top" wrapText="1"/>
    </xf>
    <xf numFmtId="0" fontId="0" fillId="42" borderId="5" xfId="0" applyFill="1" applyBorder="1" applyAlignment="1">
      <alignment horizontal="center" vertical="center"/>
    </xf>
    <xf numFmtId="0" fontId="0" fillId="42" borderId="26" xfId="0" applyFill="1" applyBorder="1" applyAlignment="1">
      <alignment horizontal="center" vertical="center"/>
    </xf>
    <xf numFmtId="0" fontId="28" fillId="42" borderId="5" xfId="0" applyFont="1" applyFill="1" applyBorder="1" applyAlignment="1">
      <alignment horizontal="center" vertical="center"/>
    </xf>
    <xf numFmtId="0" fontId="28" fillId="42" borderId="26" xfId="0" applyFont="1" applyFill="1" applyBorder="1" applyAlignment="1">
      <alignment horizontal="center" vertical="center"/>
    </xf>
    <xf numFmtId="0" fontId="24" fillId="42" borderId="85" xfId="0" applyFont="1" applyFill="1" applyBorder="1" applyAlignment="1">
      <alignment horizontal="center"/>
    </xf>
    <xf numFmtId="0" fontId="24" fillId="42" borderId="40" xfId="0" applyFont="1" applyFill="1" applyBorder="1" applyAlignment="1">
      <alignment horizontal="center"/>
    </xf>
    <xf numFmtId="0" fontId="27" fillId="38" borderId="38" xfId="0" applyFont="1" applyFill="1" applyBorder="1" applyAlignment="1">
      <alignment horizontal="left"/>
    </xf>
    <xf numFmtId="0" fontId="27" fillId="38" borderId="79" xfId="0" applyFont="1" applyFill="1" applyBorder="1" applyAlignment="1">
      <alignment horizontal="left"/>
    </xf>
    <xf numFmtId="0" fontId="27" fillId="38" borderId="6" xfId="0" applyFont="1" applyFill="1" applyBorder="1" applyAlignment="1">
      <alignment horizontal="left"/>
    </xf>
    <xf numFmtId="0" fontId="27" fillId="38" borderId="26" xfId="0" applyFont="1" applyFill="1" applyBorder="1" applyAlignment="1">
      <alignment horizontal="left"/>
    </xf>
    <xf numFmtId="0" fontId="24" fillId="42" borderId="26" xfId="0" applyFont="1" applyFill="1" applyBorder="1" applyAlignment="1">
      <alignment horizontal="center"/>
    </xf>
    <xf numFmtId="0" fontId="24" fillId="42" borderId="18" xfId="0" applyFont="1" applyFill="1" applyBorder="1" applyAlignment="1">
      <alignment horizontal="center"/>
    </xf>
    <xf numFmtId="0" fontId="24" fillId="42" borderId="2" xfId="0" applyFont="1" applyFill="1" applyBorder="1" applyAlignment="1">
      <alignment horizontal="center"/>
    </xf>
    <xf numFmtId="0" fontId="24" fillId="42" borderId="59" xfId="0" applyFont="1" applyFill="1" applyBorder="1" applyAlignment="1">
      <alignment horizontal="center"/>
    </xf>
    <xf numFmtId="0" fontId="27" fillId="38" borderId="58" xfId="0" applyFont="1" applyFill="1" applyBorder="1" applyAlignment="1">
      <alignment horizontal="left"/>
    </xf>
    <xf numFmtId="0" fontId="27" fillId="38" borderId="2" xfId="0" applyFont="1" applyFill="1" applyBorder="1" applyAlignment="1">
      <alignment horizontal="left"/>
    </xf>
    <xf numFmtId="0" fontId="27" fillId="38" borderId="54" xfId="0" applyFont="1" applyFill="1" applyBorder="1" applyAlignment="1">
      <alignment horizontal="left"/>
    </xf>
    <xf numFmtId="0" fontId="27" fillId="38" borderId="49" xfId="0" applyFont="1" applyFill="1" applyBorder="1" applyAlignment="1">
      <alignment horizontal="left"/>
    </xf>
    <xf numFmtId="0" fontId="24" fillId="42" borderId="36" xfId="0" applyFont="1" applyFill="1" applyBorder="1" applyAlignment="1">
      <alignment horizontal="center"/>
    </xf>
    <xf numFmtId="0" fontId="24" fillId="42" borderId="37" xfId="0" applyFont="1" applyFill="1" applyBorder="1" applyAlignment="1">
      <alignment horizontal="center"/>
    </xf>
    <xf numFmtId="0" fontId="27" fillId="38" borderId="55" xfId="0" applyFont="1" applyFill="1" applyBorder="1" applyAlignment="1">
      <alignment horizontal="left" vertical="center"/>
    </xf>
    <xf numFmtId="0" fontId="27" fillId="38" borderId="43" xfId="0" applyFont="1" applyFill="1" applyBorder="1" applyAlignment="1">
      <alignment horizontal="left" vertical="center"/>
    </xf>
    <xf numFmtId="0" fontId="27" fillId="38" borderId="7" xfId="0" applyFont="1" applyFill="1" applyBorder="1" applyAlignment="1">
      <alignment horizontal="left" vertical="center"/>
    </xf>
    <xf numFmtId="0" fontId="27" fillId="38" borderId="8" xfId="0" applyFont="1" applyFill="1" applyBorder="1" applyAlignment="1">
      <alignment horizontal="left" vertical="center"/>
    </xf>
    <xf numFmtId="0" fontId="24" fillId="42" borderId="38" xfId="0" applyFont="1" applyFill="1" applyBorder="1" applyAlignment="1">
      <alignment horizontal="left" vertical="center" wrapText="1"/>
    </xf>
    <xf numFmtId="0" fontId="24" fillId="42" borderId="39" xfId="0" applyFont="1" applyFill="1" applyBorder="1" applyAlignment="1">
      <alignment horizontal="left" vertical="center" wrapText="1"/>
    </xf>
    <xf numFmtId="0" fontId="24" fillId="42" borderId="40" xfId="0" applyFont="1" applyFill="1" applyBorder="1" applyAlignment="1">
      <alignment horizontal="left" vertical="center" wrapText="1"/>
    </xf>
    <xf numFmtId="0" fontId="0" fillId="42" borderId="55" xfId="0" applyFill="1" applyBorder="1" applyAlignment="1">
      <alignment horizontal="center"/>
    </xf>
    <xf numFmtId="0" fontId="0" fillId="42" borderId="7" xfId="0" applyFill="1" applyBorder="1" applyAlignment="1">
      <alignment horizontal="center"/>
    </xf>
    <xf numFmtId="0" fontId="25" fillId="42" borderId="87" xfId="0" applyFont="1" applyFill="1" applyBorder="1" applyAlignment="1">
      <alignment horizontal="center"/>
    </xf>
    <xf numFmtId="0" fontId="25" fillId="42" borderId="68" xfId="0" applyFont="1" applyFill="1" applyBorder="1" applyAlignment="1">
      <alignment horizontal="center"/>
    </xf>
    <xf numFmtId="0" fontId="23" fillId="42" borderId="85" xfId="0" applyFont="1" applyFill="1" applyBorder="1" applyAlignment="1">
      <alignment horizontal="center" vertical="center" wrapText="1"/>
    </xf>
    <xf numFmtId="0" fontId="23" fillId="42" borderId="39" xfId="0" applyFont="1" applyFill="1" applyBorder="1" applyAlignment="1">
      <alignment horizontal="center" vertical="center" wrapText="1"/>
    </xf>
    <xf numFmtId="0" fontId="23" fillId="42" borderId="79" xfId="0" applyFont="1" applyFill="1" applyBorder="1" applyAlignment="1">
      <alignment horizontal="center" vertical="center" wrapText="1"/>
    </xf>
    <xf numFmtId="0" fontId="23" fillId="42" borderId="33" xfId="0" applyFont="1" applyFill="1" applyBorder="1" applyAlignment="1">
      <alignment horizontal="center" vertical="center" wrapText="1"/>
    </xf>
    <xf numFmtId="0" fontId="23" fillId="42" borderId="42" xfId="0" applyFont="1" applyFill="1" applyBorder="1" applyAlignment="1">
      <alignment horizontal="center" vertical="center" wrapText="1"/>
    </xf>
    <xf numFmtId="0" fontId="23" fillId="42" borderId="67" xfId="0" applyFont="1" applyFill="1" applyBorder="1" applyAlignment="1">
      <alignment horizontal="center" vertical="center" wrapText="1"/>
    </xf>
    <xf numFmtId="0" fontId="26" fillId="37" borderId="35" xfId="0" applyFont="1" applyFill="1" applyBorder="1" applyAlignment="1">
      <alignment horizontal="center" vertical="center"/>
    </xf>
    <xf numFmtId="0" fontId="26" fillId="37" borderId="36" xfId="0" applyFont="1" applyFill="1" applyBorder="1" applyAlignment="1">
      <alignment horizontal="center" vertical="center"/>
    </xf>
    <xf numFmtId="0" fontId="26" fillId="37" borderId="37" xfId="0" applyFont="1" applyFill="1" applyBorder="1" applyAlignment="1">
      <alignment horizontal="center" vertical="center"/>
    </xf>
    <xf numFmtId="0" fontId="28" fillId="42" borderId="52" xfId="0" applyFont="1" applyFill="1" applyBorder="1" applyAlignment="1">
      <alignment horizontal="left" vertical="top" wrapText="1"/>
    </xf>
    <xf numFmtId="0" fontId="28" fillId="42" borderId="0" xfId="0" applyFont="1" applyFill="1" applyBorder="1" applyAlignment="1">
      <alignment horizontal="left" vertical="top" wrapText="1"/>
    </xf>
    <xf numFmtId="0" fontId="28" fillId="42" borderId="53" xfId="0" applyFont="1" applyFill="1" applyBorder="1" applyAlignment="1">
      <alignment horizontal="left" vertical="top" wrapText="1"/>
    </xf>
    <xf numFmtId="0" fontId="28" fillId="42" borderId="46" xfId="0" applyFont="1" applyFill="1" applyBorder="1" applyAlignment="1">
      <alignment horizontal="left" vertical="top" wrapText="1"/>
    </xf>
    <xf numFmtId="0" fontId="28" fillId="42" borderId="30" xfId="0" applyFont="1" applyFill="1" applyBorder="1" applyAlignment="1">
      <alignment horizontal="left" vertical="top" wrapText="1"/>
    </xf>
    <xf numFmtId="0" fontId="28" fillId="42" borderId="51" xfId="0" applyFont="1" applyFill="1" applyBorder="1" applyAlignment="1">
      <alignment horizontal="left" vertical="top" wrapText="1"/>
    </xf>
    <xf numFmtId="0" fontId="27" fillId="38" borderId="54" xfId="0" applyFont="1" applyFill="1" applyBorder="1" applyAlignment="1">
      <alignment horizontal="left" vertical="top"/>
    </xf>
    <xf numFmtId="0" fontId="27" fillId="38" borderId="49" xfId="0" applyFont="1" applyFill="1" applyBorder="1" applyAlignment="1">
      <alignment horizontal="left" vertical="top"/>
    </xf>
    <xf numFmtId="0" fontId="27" fillId="38" borderId="50" xfId="0" applyFont="1" applyFill="1" applyBorder="1" applyAlignment="1">
      <alignment horizontal="left" vertical="top"/>
    </xf>
    <xf numFmtId="0" fontId="26" fillId="37" borderId="35" xfId="0" applyFont="1" applyFill="1" applyBorder="1" applyAlignment="1">
      <alignment horizontal="center"/>
    </xf>
    <xf numFmtId="0" fontId="26" fillId="37" borderId="36" xfId="0" applyFont="1" applyFill="1" applyBorder="1" applyAlignment="1">
      <alignment horizontal="center"/>
    </xf>
    <xf numFmtId="0" fontId="26" fillId="37" borderId="37" xfId="0" applyFont="1" applyFill="1" applyBorder="1" applyAlignment="1">
      <alignment horizontal="center"/>
    </xf>
    <xf numFmtId="0" fontId="33" fillId="37" borderId="46" xfId="0" applyFont="1" applyFill="1" applyBorder="1" applyAlignment="1">
      <alignment horizontal="right" vertical="top"/>
    </xf>
    <xf numFmtId="0" fontId="33" fillId="37" borderId="51" xfId="0" applyFont="1" applyFill="1" applyBorder="1" applyAlignment="1">
      <alignment horizontal="right" vertical="top"/>
    </xf>
    <xf numFmtId="0" fontId="24" fillId="42" borderId="45" xfId="0" applyFont="1" applyFill="1" applyBorder="1" applyAlignment="1">
      <alignment horizontal="left" vertical="top"/>
    </xf>
    <xf numFmtId="0" fontId="24" fillId="42" borderId="3" xfId="0" applyFont="1" applyFill="1" applyBorder="1" applyAlignment="1">
      <alignment horizontal="left" vertical="top"/>
    </xf>
    <xf numFmtId="0" fontId="24" fillId="42" borderId="56" xfId="0" applyFont="1" applyFill="1" applyBorder="1" applyAlignment="1">
      <alignment horizontal="left" vertical="top"/>
    </xf>
    <xf numFmtId="0" fontId="24" fillId="42" borderId="57" xfId="0" applyFont="1" applyFill="1" applyBorder="1" applyAlignment="1">
      <alignment horizontal="left" vertical="top"/>
    </xf>
    <xf numFmtId="0" fontId="40" fillId="38" borderId="54" xfId="0" applyFont="1" applyFill="1" applyBorder="1" applyAlignment="1">
      <alignment horizontal="center" vertical="top"/>
    </xf>
    <xf numFmtId="0" fontId="40" fillId="38" borderId="49" xfId="0" applyFont="1" applyFill="1" applyBorder="1" applyAlignment="1">
      <alignment horizontal="center" vertical="top"/>
    </xf>
    <xf numFmtId="0" fontId="40" fillId="38" borderId="50" xfId="0" applyFont="1" applyFill="1" applyBorder="1" applyAlignment="1">
      <alignment horizontal="center" vertical="top"/>
    </xf>
    <xf numFmtId="0" fontId="33" fillId="37" borderId="7" xfId="0" applyFont="1" applyFill="1" applyBorder="1" applyAlignment="1">
      <alignment horizontal="right" vertical="top"/>
    </xf>
    <xf numFmtId="0" fontId="33" fillId="37" borderId="19" xfId="0" applyFont="1" applyFill="1" applyBorder="1" applyAlignment="1">
      <alignment horizontal="right" vertical="top"/>
    </xf>
    <xf numFmtId="0" fontId="27" fillId="38" borderId="35" xfId="0" applyFont="1" applyFill="1" applyBorder="1" applyAlignment="1">
      <alignment horizontal="center" vertical="top"/>
    </xf>
    <xf numFmtId="0" fontId="27" fillId="38" borderId="36" xfId="0" applyFont="1" applyFill="1" applyBorder="1" applyAlignment="1">
      <alignment horizontal="center" vertical="top"/>
    </xf>
    <xf numFmtId="4" fontId="28" fillId="0" borderId="49" xfId="0" applyNumberFormat="1" applyFont="1" applyFill="1" applyBorder="1" applyAlignment="1">
      <alignment horizontal="center" wrapText="1"/>
    </xf>
    <xf numFmtId="0" fontId="28" fillId="0" borderId="49" xfId="0" applyFont="1" applyFill="1" applyBorder="1" applyAlignment="1">
      <alignment horizontal="center"/>
    </xf>
    <xf numFmtId="0" fontId="19" fillId="37" borderId="35" xfId="0" applyFont="1" applyFill="1" applyBorder="1" applyAlignment="1">
      <alignment horizontal="center"/>
    </xf>
    <xf numFmtId="0" fontId="19" fillId="37" borderId="36" xfId="0" applyFont="1" applyFill="1" applyBorder="1" applyAlignment="1">
      <alignment horizontal="center"/>
    </xf>
    <xf numFmtId="0" fontId="19" fillId="37" borderId="37" xfId="0" applyFont="1" applyFill="1" applyBorder="1" applyAlignment="1">
      <alignment horizontal="center"/>
    </xf>
    <xf numFmtId="0" fontId="19" fillId="37" borderId="77" xfId="0" applyFont="1" applyFill="1" applyBorder="1" applyAlignment="1">
      <alignment horizontal="center" vertical="center"/>
    </xf>
    <xf numFmtId="0" fontId="19" fillId="37" borderId="78" xfId="0" applyFont="1" applyFill="1" applyBorder="1" applyAlignment="1">
      <alignment horizontal="center" vertical="center"/>
    </xf>
    <xf numFmtId="0" fontId="26" fillId="37" borderId="38" xfId="0" applyFont="1" applyFill="1" applyBorder="1" applyAlignment="1">
      <alignment horizontal="right"/>
    </xf>
    <xf numFmtId="0" fontId="26" fillId="37" borderId="40" xfId="0" applyFont="1" applyFill="1" applyBorder="1" applyAlignment="1">
      <alignment horizontal="right"/>
    </xf>
    <xf numFmtId="0" fontId="26" fillId="37" borderId="41" xfId="0" applyFont="1" applyFill="1" applyBorder="1" applyAlignment="1">
      <alignment horizontal="right"/>
    </xf>
    <xf numFmtId="0" fontId="26" fillId="37" borderId="34" xfId="0" applyFont="1" applyFill="1" applyBorder="1" applyAlignment="1">
      <alignment horizontal="right"/>
    </xf>
    <xf numFmtId="0" fontId="26" fillId="37" borderId="38" xfId="0" applyFont="1" applyFill="1" applyBorder="1" applyAlignment="1">
      <alignment horizontal="center" vertical="center"/>
    </xf>
    <xf numFmtId="0" fontId="26" fillId="37" borderId="39" xfId="0" applyFont="1" applyFill="1" applyBorder="1" applyAlignment="1">
      <alignment horizontal="center" vertical="center"/>
    </xf>
    <xf numFmtId="0" fontId="26" fillId="37" borderId="40" xfId="0" applyFont="1" applyFill="1" applyBorder="1" applyAlignment="1">
      <alignment horizontal="center" vertical="center"/>
    </xf>
    <xf numFmtId="0" fontId="26" fillId="37" borderId="41" xfId="0" applyFont="1" applyFill="1" applyBorder="1" applyAlignment="1">
      <alignment horizontal="center" vertical="center"/>
    </xf>
    <xf numFmtId="0" fontId="26" fillId="37" borderId="42" xfId="0" applyFont="1" applyFill="1" applyBorder="1" applyAlignment="1">
      <alignment horizontal="center" vertical="center"/>
    </xf>
    <xf numFmtId="0" fontId="26" fillId="37" borderId="34" xfId="0" applyFont="1" applyFill="1" applyBorder="1" applyAlignment="1">
      <alignment horizontal="center" vertical="center"/>
    </xf>
    <xf numFmtId="0" fontId="24" fillId="42" borderId="38" xfId="0" applyFont="1" applyFill="1" applyBorder="1" applyAlignment="1">
      <alignment horizontal="left" vertical="top" wrapText="1"/>
    </xf>
    <xf numFmtId="0" fontId="24" fillId="42" borderId="39" xfId="0" applyFont="1" applyFill="1" applyBorder="1" applyAlignment="1">
      <alignment horizontal="left" vertical="top"/>
    </xf>
    <xf numFmtId="0" fontId="24" fillId="42" borderId="46" xfId="0" applyFont="1" applyFill="1" applyBorder="1" applyAlignment="1">
      <alignment horizontal="left" vertical="top"/>
    </xf>
    <xf numFmtId="0" fontId="24" fillId="42" borderId="30" xfId="0" applyFont="1" applyFill="1" applyBorder="1" applyAlignment="1">
      <alignment horizontal="left" vertical="top"/>
    </xf>
    <xf numFmtId="0" fontId="24" fillId="42" borderId="64" xfId="0" applyFont="1" applyFill="1" applyBorder="1" applyAlignment="1">
      <alignment horizontal="left" vertical="top"/>
    </xf>
    <xf numFmtId="0" fontId="24" fillId="42" borderId="65" xfId="0" applyFont="1" applyFill="1" applyBorder="1" applyAlignment="1">
      <alignment horizontal="left" vertical="top"/>
    </xf>
    <xf numFmtId="0" fontId="32" fillId="38" borderId="35" xfId="0" applyFont="1" applyFill="1" applyBorder="1" applyAlignment="1">
      <alignment horizontal="center" vertical="top"/>
    </xf>
    <xf numFmtId="0" fontId="32" fillId="38" borderId="36" xfId="0" applyFont="1" applyFill="1" applyBorder="1" applyAlignment="1">
      <alignment horizontal="center" vertical="top"/>
    </xf>
    <xf numFmtId="0" fontId="37" fillId="37" borderId="27" xfId="0" applyFont="1" applyFill="1" applyBorder="1" applyAlignment="1">
      <alignment horizontal="center" vertical="center" wrapText="1"/>
    </xf>
    <xf numFmtId="0" fontId="37" fillId="37" borderId="28" xfId="0" applyFont="1" applyFill="1" applyBorder="1" applyAlignment="1">
      <alignment horizontal="center" vertical="center" wrapText="1"/>
    </xf>
    <xf numFmtId="0" fontId="37" fillId="37" borderId="59" xfId="0" applyFont="1" applyFill="1" applyBorder="1" applyAlignment="1">
      <alignment horizontal="center" vertical="center" wrapText="1"/>
    </xf>
    <xf numFmtId="0" fontId="37" fillId="37" borderId="68" xfId="0" applyFont="1" applyFill="1" applyBorder="1" applyAlignment="1">
      <alignment horizontal="center" vertical="center" wrapText="1"/>
    </xf>
    <xf numFmtId="0" fontId="26" fillId="37" borderId="64" xfId="0" applyFont="1" applyFill="1" applyBorder="1" applyAlignment="1">
      <alignment horizontal="center" vertical="center"/>
    </xf>
    <xf numFmtId="0" fontId="26" fillId="37" borderId="65" xfId="0" applyFont="1" applyFill="1" applyBorder="1" applyAlignment="1">
      <alignment horizontal="center" vertical="center"/>
    </xf>
    <xf numFmtId="0" fontId="26" fillId="37" borderId="66" xfId="0" applyFont="1" applyFill="1" applyBorder="1" applyAlignment="1">
      <alignment horizontal="center" vertical="center"/>
    </xf>
    <xf numFmtId="0" fontId="26" fillId="37" borderId="46" xfId="0" applyFont="1" applyFill="1" applyBorder="1" applyAlignment="1">
      <alignment horizontal="center" vertical="center"/>
    </xf>
    <xf numFmtId="0" fontId="26" fillId="37" borderId="30" xfId="0" applyFont="1" applyFill="1" applyBorder="1" applyAlignment="1">
      <alignment horizontal="center" vertical="center"/>
    </xf>
    <xf numFmtId="0" fontId="26" fillId="37" borderId="51" xfId="0" applyFont="1" applyFill="1" applyBorder="1" applyAlignment="1">
      <alignment horizontal="center" vertical="center"/>
    </xf>
    <xf numFmtId="0" fontId="30" fillId="42" borderId="5" xfId="45" applyFont="1" applyFill="1" applyBorder="1" applyAlignment="1">
      <alignment horizontal="left" vertical="top" wrapText="1"/>
    </xf>
    <xf numFmtId="0" fontId="37" fillId="37" borderId="8" xfId="45" applyFont="1" applyFill="1" applyBorder="1" applyAlignment="1">
      <alignment horizontal="center" vertical="center" wrapText="1"/>
    </xf>
    <xf numFmtId="0" fontId="37" fillId="37" borderId="19" xfId="45" applyFont="1" applyFill="1" applyBorder="1" applyAlignment="1">
      <alignment horizontal="center" vertical="center" wrapText="1"/>
    </xf>
    <xf numFmtId="0" fontId="30" fillId="42" borderId="26" xfId="45" applyFont="1" applyFill="1" applyBorder="1" applyAlignment="1">
      <alignment horizontal="left" vertical="top" wrapText="1"/>
    </xf>
    <xf numFmtId="0" fontId="37" fillId="37" borderId="3" xfId="0" applyFont="1" applyFill="1" applyBorder="1" applyAlignment="1">
      <alignment horizontal="center" vertical="center" wrapText="1"/>
    </xf>
    <xf numFmtId="0" fontId="38" fillId="37" borderId="24" xfId="45" applyFont="1" applyFill="1" applyBorder="1" applyAlignment="1">
      <alignment horizontal="center" vertical="center" wrapText="1"/>
    </xf>
    <xf numFmtId="0" fontId="38" fillId="37" borderId="57" xfId="45" applyFont="1" applyFill="1" applyBorder="1" applyAlignment="1">
      <alignment horizontal="center" vertical="center" wrapText="1"/>
    </xf>
    <xf numFmtId="0" fontId="38" fillId="37" borderId="20" xfId="45" applyFont="1" applyFill="1" applyBorder="1" applyAlignment="1">
      <alignment horizontal="center" vertical="center" wrapText="1"/>
    </xf>
    <xf numFmtId="0" fontId="30" fillId="42" borderId="29" xfId="45" applyFont="1" applyFill="1" applyBorder="1" applyAlignment="1">
      <alignment horizontal="left" vertical="top" wrapText="1"/>
    </xf>
    <xf numFmtId="0" fontId="30" fillId="42" borderId="30" xfId="45" applyFont="1" applyFill="1" applyBorder="1" applyAlignment="1">
      <alignment horizontal="left" vertical="top" wrapText="1"/>
    </xf>
    <xf numFmtId="0" fontId="30" fillId="42" borderId="23" xfId="45" applyFont="1" applyFill="1" applyBorder="1" applyAlignment="1">
      <alignment horizontal="left" vertical="top" wrapText="1"/>
    </xf>
    <xf numFmtId="0" fontId="30" fillId="42" borderId="27" xfId="45" applyFont="1" applyFill="1" applyBorder="1" applyAlignment="1">
      <alignment horizontal="left" vertical="top" wrapText="1"/>
    </xf>
    <xf numFmtId="0" fontId="30" fillId="42" borderId="3" xfId="45" applyFont="1" applyFill="1" applyBorder="1" applyAlignment="1">
      <alignment horizontal="left" vertical="top" wrapText="1"/>
    </xf>
    <xf numFmtId="0" fontId="30" fillId="42" borderId="28" xfId="45" applyFont="1" applyFill="1" applyBorder="1" applyAlignment="1">
      <alignment horizontal="left" vertical="top" wrapText="1"/>
    </xf>
    <xf numFmtId="0" fontId="29" fillId="42" borderId="5" xfId="0" applyFont="1" applyFill="1" applyBorder="1" applyAlignment="1">
      <alignment horizontal="left" wrapText="1"/>
    </xf>
    <xf numFmtId="0" fontId="29" fillId="42" borderId="26" xfId="0" applyFont="1" applyFill="1" applyBorder="1" applyAlignment="1">
      <alignment horizontal="left" wrapText="1"/>
    </xf>
    <xf numFmtId="0" fontId="26" fillId="37" borderId="58" xfId="0" applyFont="1" applyFill="1" applyBorder="1" applyAlignment="1">
      <alignment horizontal="center" vertical="center" wrapText="1"/>
    </xf>
    <xf numFmtId="0" fontId="26" fillId="37" borderId="31" xfId="0" applyFont="1" applyFill="1" applyBorder="1" applyAlignment="1">
      <alignment horizontal="center" vertical="center" wrapText="1"/>
    </xf>
    <xf numFmtId="0" fontId="37" fillId="37" borderId="2" xfId="0" applyFont="1" applyFill="1" applyBorder="1" applyAlignment="1">
      <alignment horizontal="center" vertical="center" wrapText="1"/>
    </xf>
    <xf numFmtId="0" fontId="37" fillId="37" borderId="32" xfId="0" applyFont="1" applyFill="1" applyBorder="1" applyAlignment="1">
      <alignment horizontal="center" vertical="center" wrapText="1"/>
    </xf>
    <xf numFmtId="0" fontId="37" fillId="37" borderId="21" xfId="0" applyFont="1" applyFill="1" applyBorder="1" applyAlignment="1">
      <alignment horizontal="center" vertical="center" wrapText="1"/>
    </xf>
    <xf numFmtId="0" fontId="37" fillId="37" borderId="22" xfId="0" applyFont="1" applyFill="1" applyBorder="1" applyAlignment="1">
      <alignment horizontal="center" vertical="center" wrapText="1"/>
    </xf>
    <xf numFmtId="0" fontId="37" fillId="37" borderId="33" xfId="0" applyFont="1" applyFill="1" applyBorder="1" applyAlignment="1">
      <alignment horizontal="center" vertical="center" wrapText="1"/>
    </xf>
    <xf numFmtId="0" fontId="37" fillId="37" borderId="67" xfId="0" applyFont="1" applyFill="1" applyBorder="1" applyAlignment="1">
      <alignment horizontal="center" vertical="center" wrapText="1"/>
    </xf>
    <xf numFmtId="0" fontId="26" fillId="37" borderId="26" xfId="0" applyFont="1" applyFill="1" applyBorder="1" applyAlignment="1">
      <alignment horizontal="center"/>
    </xf>
    <xf numFmtId="0" fontId="33" fillId="37" borderId="26" xfId="0" applyFont="1" applyFill="1" applyBorder="1" applyAlignment="1">
      <alignment horizontal="center"/>
    </xf>
    <xf numFmtId="0" fontId="26" fillId="37" borderId="2" xfId="0" applyFont="1" applyFill="1" applyBorder="1" applyAlignment="1">
      <alignment horizontal="center"/>
    </xf>
    <xf numFmtId="0" fontId="26" fillId="37" borderId="5" xfId="0" applyFont="1" applyFill="1" applyBorder="1" applyAlignment="1">
      <alignment horizontal="center"/>
    </xf>
    <xf numFmtId="0" fontId="26" fillId="37" borderId="26" xfId="0" applyFont="1" applyFill="1" applyBorder="1" applyAlignment="1">
      <alignment horizontal="center" wrapText="1"/>
    </xf>
    <xf numFmtId="0" fontId="33" fillId="37" borderId="26" xfId="0" applyFont="1" applyFill="1" applyBorder="1" applyAlignment="1">
      <alignment wrapText="1"/>
    </xf>
    <xf numFmtId="0" fontId="37" fillId="37" borderId="27" xfId="0" applyFont="1" applyFill="1" applyBorder="1" applyAlignment="1">
      <alignment horizontal="right" vertical="center" wrapText="1"/>
    </xf>
    <xf numFmtId="0" fontId="37" fillId="37" borderId="28" xfId="0" applyFont="1" applyFill="1" applyBorder="1" applyAlignment="1">
      <alignment horizontal="right" vertical="center" wrapText="1"/>
    </xf>
    <xf numFmtId="0" fontId="37" fillId="37" borderId="26" xfId="0" applyFont="1" applyFill="1" applyBorder="1" applyAlignment="1">
      <alignment horizontal="left" vertical="center" wrapText="1"/>
    </xf>
    <xf numFmtId="0" fontId="45" fillId="3" borderId="35" xfId="0" applyFont="1" applyFill="1" applyBorder="1" applyAlignment="1">
      <alignment horizontal="center" vertical="top" wrapText="1"/>
    </xf>
    <xf numFmtId="0" fontId="45" fillId="3" borderId="36" xfId="0" applyFont="1" applyFill="1" applyBorder="1" applyAlignment="1">
      <alignment horizontal="center" vertical="top" wrapText="1"/>
    </xf>
    <xf numFmtId="0" fontId="45" fillId="3" borderId="37" xfId="0" applyFont="1" applyFill="1" applyBorder="1" applyAlignment="1">
      <alignment horizontal="center" vertical="top" wrapText="1"/>
    </xf>
    <xf numFmtId="0" fontId="26" fillId="40" borderId="64" xfId="0" applyFont="1" applyFill="1" applyBorder="1" applyAlignment="1" applyProtection="1">
      <alignment horizontal="center" vertical="top" wrapText="1"/>
    </xf>
    <xf numFmtId="0" fontId="26" fillId="40" borderId="65" xfId="0" applyFont="1" applyFill="1" applyBorder="1" applyAlignment="1" applyProtection="1">
      <alignment horizontal="center" vertical="top" wrapText="1"/>
    </xf>
    <xf numFmtId="0" fontId="26" fillId="40" borderId="66" xfId="0" applyFont="1" applyFill="1" applyBorder="1" applyAlignment="1" applyProtection="1">
      <alignment horizontal="center" vertical="top" wrapText="1"/>
    </xf>
    <xf numFmtId="0" fontId="28" fillId="0" borderId="36" xfId="0" applyFont="1" applyBorder="1" applyAlignment="1">
      <alignment horizontal="center" vertical="top" wrapText="1"/>
    </xf>
    <xf numFmtId="0" fontId="28" fillId="0" borderId="37" xfId="0" applyFont="1" applyBorder="1" applyAlignment="1">
      <alignment horizontal="center" vertical="top" wrapText="1"/>
    </xf>
    <xf numFmtId="0" fontId="26" fillId="37" borderId="26" xfId="0" applyFont="1" applyFill="1" applyBorder="1" applyAlignment="1">
      <alignment horizontal="center" vertical="center"/>
    </xf>
    <xf numFmtId="0" fontId="28" fillId="42" borderId="26" xfId="0" applyFont="1" applyFill="1" applyBorder="1" applyAlignment="1">
      <alignment horizontal="left" vertical="top" wrapText="1"/>
    </xf>
    <xf numFmtId="0" fontId="31" fillId="42" borderId="33" xfId="0" applyFont="1" applyFill="1" applyBorder="1" applyAlignment="1">
      <alignment horizontal="left"/>
    </xf>
    <xf numFmtId="0" fontId="31" fillId="42" borderId="34" xfId="0" applyFont="1" applyFill="1" applyBorder="1" applyAlignment="1">
      <alignment horizontal="left"/>
    </xf>
    <xf numFmtId="0" fontId="37" fillId="37" borderId="81" xfId="0" applyFont="1" applyFill="1" applyBorder="1" applyAlignment="1">
      <alignment horizontal="center" vertical="center" wrapText="1"/>
    </xf>
    <xf numFmtId="0" fontId="37" fillId="37" borderId="31" xfId="0" applyFont="1" applyFill="1" applyBorder="1" applyAlignment="1">
      <alignment horizontal="center" vertical="center" wrapText="1"/>
    </xf>
    <xf numFmtId="0" fontId="37" fillId="37" borderId="82" xfId="0" applyFont="1" applyFill="1" applyBorder="1" applyAlignment="1">
      <alignment horizontal="center" vertical="center"/>
    </xf>
    <xf numFmtId="0" fontId="37" fillId="37" borderId="65" xfId="0" applyFont="1" applyFill="1" applyBorder="1" applyAlignment="1">
      <alignment horizontal="center" vertical="center"/>
    </xf>
    <xf numFmtId="0" fontId="37" fillId="37" borderId="66" xfId="0" applyFont="1" applyFill="1" applyBorder="1" applyAlignment="1">
      <alignment horizontal="center" vertical="center"/>
    </xf>
    <xf numFmtId="0" fontId="31" fillId="42" borderId="27" xfId="0" applyFont="1" applyFill="1" applyBorder="1" applyAlignment="1">
      <alignment horizontal="left"/>
    </xf>
    <xf numFmtId="0" fontId="31" fillId="42" borderId="86" xfId="0" applyFont="1" applyFill="1" applyBorder="1" applyAlignment="1">
      <alignment horizontal="left"/>
    </xf>
    <xf numFmtId="0" fontId="31" fillId="42" borderId="82" xfId="0" applyFont="1" applyFill="1" applyBorder="1" applyAlignment="1">
      <alignment horizontal="left"/>
    </xf>
    <xf numFmtId="0" fontId="31" fillId="42" borderId="66" xfId="0" applyFont="1" applyFill="1" applyBorder="1" applyAlignment="1">
      <alignment horizontal="left"/>
    </xf>
    <xf numFmtId="0" fontId="28" fillId="42" borderId="27" xfId="0" applyFont="1" applyFill="1" applyBorder="1" applyAlignment="1">
      <alignment horizontal="left" vertical="top" wrapText="1"/>
    </xf>
    <xf numFmtId="0" fontId="28" fillId="42" borderId="3" xfId="0" applyFont="1" applyFill="1" applyBorder="1" applyAlignment="1">
      <alignment horizontal="left" vertical="top" wrapText="1"/>
    </xf>
    <xf numFmtId="0" fontId="28" fillId="42" borderId="28" xfId="0" applyFont="1" applyFill="1" applyBorder="1" applyAlignment="1">
      <alignment horizontal="left" vertical="top" wrapText="1"/>
    </xf>
  </cellXfs>
  <cellStyles count="47">
    <cellStyle name="20% - Акцент1" xfId="22" builtinId="30" customBuiltin="1"/>
    <cellStyle name="20% - Акцент2" xfId="26" builtinId="34" customBuiltin="1"/>
    <cellStyle name="20% - Акцент3" xfId="30" builtinId="38" customBuiltin="1"/>
    <cellStyle name="20% - Акцент4" xfId="34" builtinId="42" customBuiltin="1"/>
    <cellStyle name="20% - Акцент5" xfId="38" builtinId="46" customBuiltin="1"/>
    <cellStyle name="20% - Акцент6" xfId="42" builtinId="50" customBuiltin="1"/>
    <cellStyle name="40% - Акцент1" xfId="23" builtinId="31" customBuiltin="1"/>
    <cellStyle name="40% - Акцент2" xfId="27" builtinId="35" customBuiltin="1"/>
    <cellStyle name="40% - Акцент3" xfId="31" builtinId="39" customBuiltin="1"/>
    <cellStyle name="40% - Акцент4" xfId="35" builtinId="43" customBuiltin="1"/>
    <cellStyle name="40% - Акцент5" xfId="39" builtinId="47" customBuiltin="1"/>
    <cellStyle name="40% - Акцент6" xfId="43" builtinId="51" customBuiltin="1"/>
    <cellStyle name="60% - Акцент1" xfId="24" builtinId="32" customBuiltin="1"/>
    <cellStyle name="60% - Акцент2" xfId="28" builtinId="36" customBuiltin="1"/>
    <cellStyle name="60% - Акцент3" xfId="32" builtinId="40" customBuiltin="1"/>
    <cellStyle name="60% - Акцент4" xfId="36" builtinId="44" customBuiltin="1"/>
    <cellStyle name="60% - Акцент5" xfId="40" builtinId="48" customBuiltin="1"/>
    <cellStyle name="60% - Акцент6" xfId="44" builtinId="52" customBuiltin="1"/>
    <cellStyle name="Iau?iue" xfId="3"/>
    <cellStyle name="Normal 2" xfId="2"/>
    <cellStyle name="Акцент1" xfId="21" builtinId="29" customBuiltin="1"/>
    <cellStyle name="Акцент2" xfId="25" builtinId="33" customBuiltin="1"/>
    <cellStyle name="Акцент3" xfId="29" builtinId="37" customBuiltin="1"/>
    <cellStyle name="Акцент4" xfId="33" builtinId="41" customBuiltin="1"/>
    <cellStyle name="Акцент5" xfId="37" builtinId="45" customBuiltin="1"/>
    <cellStyle name="Акцент6" xfId="41" builtinId="49" customBuiltin="1"/>
    <cellStyle name="Ввод " xfId="12" builtinId="20" customBuiltin="1"/>
    <cellStyle name="Вывод" xfId="13" builtinId="21" customBuiltin="1"/>
    <cellStyle name="Вычисление" xfId="14" builtinId="22" customBuiltin="1"/>
    <cellStyle name="Заголовок 1" xfId="5" builtinId="16" customBuiltin="1"/>
    <cellStyle name="Заголовок 2" xfId="6" builtinId="17" customBuiltin="1"/>
    <cellStyle name="Заголовок 3" xfId="7" builtinId="18" customBuiltin="1"/>
    <cellStyle name="Заголовок 4" xfId="8" builtinId="19" customBuiltin="1"/>
    <cellStyle name="Итог" xfId="20" builtinId="25" customBuiltin="1"/>
    <cellStyle name="Контрольная ячейка" xfId="16" builtinId="23" customBuiltin="1"/>
    <cellStyle name="Название" xfId="4" builtinId="15" customBuiltin="1"/>
    <cellStyle name="Нейтральный" xfId="11" builtinId="28" customBuiltin="1"/>
    <cellStyle name="Обычный" xfId="0" builtinId="0"/>
    <cellStyle name="Обычный 3" xfId="1"/>
    <cellStyle name="Обычный 4" xfId="45"/>
    <cellStyle name="Обычный 7" xfId="46"/>
    <cellStyle name="Плохой" xfId="10" builtinId="27" customBuiltin="1"/>
    <cellStyle name="Пояснение" xfId="19" builtinId="53" customBuiltin="1"/>
    <cellStyle name="Примечание" xfId="18" builtinId="10" customBuiltin="1"/>
    <cellStyle name="Связанная ячейка" xfId="15" builtinId="24" customBuiltin="1"/>
    <cellStyle name="Текст предупреждения" xfId="17" builtinId="11" customBuiltin="1"/>
    <cellStyle name="Хороший" xfId="9" builtinId="26" customBuiltin="1"/>
  </cellStyles>
  <dxfs count="61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8"/>
          <c:order val="8"/>
          <c:tx>
            <c:v>Закрывающая документация</c:v>
          </c:tx>
          <c:spPr>
            <a:pattFill prst="dkUpDiag">
              <a:fgClr>
                <a:srgbClr val="5B9BD5"/>
              </a:fgClr>
              <a:bgClr>
                <a:srgbClr val="FFFFFF"/>
              </a:bgClr>
            </a:pattFill>
          </c:spPr>
          <c:val>
            <c:numLit>
              <c:formatCode>General</c:formatCode>
              <c:ptCount val="1"/>
              <c:pt idx="0">
                <c:v>41881</c:v>
              </c:pt>
            </c:numLit>
          </c:val>
        </c:ser>
        <c:ser>
          <c:idx val="9"/>
          <c:order val="9"/>
          <c:tx>
            <c:v>Тестирование</c:v>
          </c:tx>
          <c:spPr>
            <a:pattFill prst="dkUpDiag">
              <a:fgClr>
                <a:srgbClr val="A5A5A5"/>
              </a:fgClr>
              <a:bgClr>
                <a:srgbClr val="FFFFFF"/>
              </a:bgClr>
            </a:pattFill>
          </c:spPr>
          <c:val>
            <c:numLit>
              <c:formatCode>General</c:formatCode>
              <c:ptCount val="1"/>
              <c:pt idx="0">
                <c:v>41871</c:v>
              </c:pt>
            </c:numLit>
          </c:val>
        </c:ser>
        <c:ser>
          <c:idx val="10"/>
          <c:order val="10"/>
          <c:tx>
            <c:v>Разработка инструментария</c:v>
          </c:tx>
          <c:spPr>
            <a:pattFill prst="dkUpDiag">
              <a:fgClr>
                <a:srgbClr val="ED7D31"/>
              </a:fgClr>
              <a:bgClr>
                <a:srgbClr val="FFFFFF"/>
              </a:bgClr>
            </a:pattFill>
          </c:spPr>
          <c:val>
            <c:numLit>
              <c:formatCode>General</c:formatCode>
              <c:ptCount val="1"/>
              <c:pt idx="0">
                <c:v>41866</c:v>
              </c:pt>
            </c:numLit>
          </c:val>
        </c:ser>
        <c:ser>
          <c:idx val="11"/>
          <c:order val="11"/>
          <c:tx>
            <c:v>Документирование</c:v>
          </c:tx>
          <c:spPr>
            <a:pattFill prst="dkUpDiag">
              <a:fgClr>
                <a:srgbClr val="FFC000"/>
              </a:fgClr>
              <a:bgClr>
                <a:srgbClr val="FFFFFF"/>
              </a:bgClr>
            </a:pattFill>
          </c:spPr>
          <c:val>
            <c:numLit>
              <c:formatCode>General</c:formatCode>
              <c:ptCount val="1"/>
              <c:pt idx="0">
                <c:v>41860</c:v>
              </c:pt>
            </c:numLit>
          </c:val>
        </c:ser>
        <c:gapWidth val="148"/>
        <c:overlap val="100"/>
        <c:axId val="76656640"/>
        <c:axId val="76658176"/>
      </c:barChart>
      <c:barChart>
        <c:barDir val="col"/>
        <c:grouping val="clustered"/>
        <c:ser>
          <c:idx val="4"/>
          <c:order val="4"/>
          <c:tx>
            <c:v>Закрывающая документация</c:v>
          </c:tx>
          <c:spPr>
            <a:solidFill>
              <a:srgbClr val="5B9BD5"/>
            </a:solidFill>
          </c:spPr>
          <c:val>
            <c:numLit>
              <c:formatCode>General</c:formatCode>
              <c:ptCount val="1"/>
              <c:pt idx="0">
                <c:v>41973</c:v>
              </c:pt>
            </c:numLit>
          </c:val>
        </c:ser>
        <c:ser>
          <c:idx val="5"/>
          <c:order val="5"/>
          <c:tx>
            <c:v>Разработка инструментария</c:v>
          </c:tx>
          <c:spPr>
            <a:solidFill>
              <a:srgbClr val="ED7D31"/>
            </a:solidFill>
          </c:spPr>
          <c:val>
            <c:numLit>
              <c:formatCode>General</c:formatCode>
              <c:ptCount val="1"/>
              <c:pt idx="0">
                <c:v>41922</c:v>
              </c:pt>
            </c:numLit>
          </c:val>
        </c:ser>
        <c:ser>
          <c:idx val="6"/>
          <c:order val="6"/>
          <c:tx>
            <c:v>Тестирование</c:v>
          </c:tx>
          <c:spPr>
            <a:solidFill>
              <a:srgbClr val="A5A5A5"/>
            </a:solidFill>
          </c:spPr>
          <c:val>
            <c:numLit>
              <c:formatCode>General</c:formatCode>
              <c:ptCount val="1"/>
              <c:pt idx="0">
                <c:v>41872</c:v>
              </c:pt>
            </c:numLit>
          </c:val>
        </c:ser>
        <c:ser>
          <c:idx val="7"/>
          <c:order val="7"/>
          <c:tx>
            <c:v>Документирование</c:v>
          </c:tx>
          <c:spPr>
            <a:solidFill>
              <a:srgbClr val="FFC000"/>
            </a:solidFill>
          </c:spPr>
          <c:val>
            <c:numLit>
              <c:formatCode>General</c:formatCode>
              <c:ptCount val="1"/>
              <c:pt idx="0">
                <c:v>41862</c:v>
              </c:pt>
            </c:numLit>
          </c:val>
        </c:ser>
        <c:gapWidth val="500"/>
        <c:overlap val="100"/>
        <c:axId val="76661504"/>
        <c:axId val="76659712"/>
      </c:barChart>
      <c:scatterChart>
        <c:scatterStyle val="lineMarker"/>
        <c:ser>
          <c:idx val="0"/>
          <c:order val="0"/>
          <c:tx>
            <c:v>Закрывающая документация</c:v>
          </c:tx>
          <c:spPr>
            <a:ln w="15240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0.75000000000000033</c:v>
              </c:pt>
              <c:pt idx="1">
                <c:v>1.25</c:v>
              </c:pt>
            </c:numLit>
          </c:xVal>
          <c:yVal>
            <c:numLit>
              <c:formatCode>General</c:formatCode>
              <c:ptCount val="2"/>
              <c:pt idx="0">
                <c:v>41973</c:v>
              </c:pt>
              <c:pt idx="1">
                <c:v>41973</c:v>
              </c:pt>
            </c:numLit>
          </c:yVal>
        </c:ser>
        <c:ser>
          <c:idx val="1"/>
          <c:order val="1"/>
          <c:tx>
            <c:v>Разработка инструментария</c:v>
          </c:tx>
          <c:spPr>
            <a:ln w="15240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0.75000000000000033</c:v>
              </c:pt>
              <c:pt idx="1">
                <c:v>1.25</c:v>
              </c:pt>
            </c:numLit>
          </c:xVal>
          <c:yVal>
            <c:numLit>
              <c:formatCode>General</c:formatCode>
              <c:ptCount val="2"/>
              <c:pt idx="0">
                <c:v>41922</c:v>
              </c:pt>
              <c:pt idx="1">
                <c:v>41922</c:v>
              </c:pt>
            </c:numLit>
          </c:yVal>
        </c:ser>
        <c:ser>
          <c:idx val="2"/>
          <c:order val="2"/>
          <c:tx>
            <c:v>Тестирование</c:v>
          </c:tx>
          <c:spPr>
            <a:ln w="15240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0.75000000000000033</c:v>
              </c:pt>
              <c:pt idx="1">
                <c:v>1.25</c:v>
              </c:pt>
            </c:numLit>
          </c:xVal>
          <c:yVal>
            <c:numLit>
              <c:formatCode>General</c:formatCode>
              <c:ptCount val="2"/>
              <c:pt idx="0">
                <c:v>41872</c:v>
              </c:pt>
              <c:pt idx="1">
                <c:v>41872</c:v>
              </c:pt>
            </c:numLit>
          </c:yVal>
        </c:ser>
        <c:ser>
          <c:idx val="3"/>
          <c:order val="3"/>
          <c:tx>
            <c:v>Документирование</c:v>
          </c:tx>
          <c:spPr>
            <a:ln w="15240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0.75000000000000033</c:v>
              </c:pt>
              <c:pt idx="1">
                <c:v>1.25</c:v>
              </c:pt>
            </c:numLit>
          </c:xVal>
          <c:yVal>
            <c:numLit>
              <c:formatCode>General</c:formatCode>
              <c:ptCount val="2"/>
              <c:pt idx="0">
                <c:v>41866</c:v>
              </c:pt>
              <c:pt idx="1">
                <c:v>41866</c:v>
              </c:pt>
            </c:numLit>
          </c:yVal>
        </c:ser>
        <c:axId val="76656640"/>
        <c:axId val="76658176"/>
      </c:scatterChart>
      <c:catAx>
        <c:axId val="76656640"/>
        <c:scaling>
          <c:orientation val="minMax"/>
        </c:scaling>
        <c:delete val="1"/>
        <c:axPos val="b"/>
        <c:numFmt formatCode="General" sourceLinked="1"/>
        <c:tickLblPos val="nextTo"/>
        <c:crossAx val="76658176"/>
        <c:crosses val="autoZero"/>
        <c:auto val="1"/>
        <c:lblAlgn val="ctr"/>
        <c:lblOffset val="100"/>
      </c:catAx>
      <c:valAx>
        <c:axId val="76658176"/>
        <c:scaling>
          <c:orientation val="minMax"/>
          <c:max val="41974"/>
          <c:min val="41815"/>
        </c:scaling>
        <c:axPos val="l"/>
        <c:majorGridlines/>
        <c:numFmt formatCode="[$-419]d\ mmm;@" sourceLinked="0"/>
        <c:tickLblPos val="nextTo"/>
        <c:crossAx val="76656640"/>
        <c:crosses val="autoZero"/>
        <c:crossBetween val="between"/>
      </c:valAx>
      <c:valAx>
        <c:axId val="76659712"/>
        <c:scaling>
          <c:orientation val="minMax"/>
          <c:max val="41974"/>
          <c:min val="41815"/>
        </c:scaling>
        <c:delete val="1"/>
        <c:axPos val="r"/>
        <c:numFmt formatCode="[$-419]d\ mmm;@" sourceLinked="0"/>
        <c:tickLblPos val="nextTo"/>
        <c:crossAx val="76661504"/>
        <c:crosses val="max"/>
        <c:crossBetween val="between"/>
      </c:valAx>
      <c:catAx>
        <c:axId val="76661504"/>
        <c:scaling>
          <c:orientation val="minMax"/>
        </c:scaling>
        <c:delete val="1"/>
        <c:axPos val="b"/>
        <c:tickLblPos val="nextTo"/>
        <c:crossAx val="76659712"/>
        <c:crosses val="autoZero"/>
        <c:auto val="1"/>
        <c:lblAlgn val="ctr"/>
        <c:lblOffset val="100"/>
      </c:cat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9526</xdr:rowOff>
    </xdr:from>
    <xdr:to>
      <xdr:col>1</xdr:col>
      <xdr:colOff>1476375</xdr:colOff>
      <xdr:row>3</xdr:row>
      <xdr:rowOff>9526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6" y="209551"/>
          <a:ext cx="1476374" cy="400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254000</xdr:colOff>
      <xdr:row>40</xdr:row>
      <xdr:rowOff>73025</xdr:rowOff>
    </xdr:from>
    <xdr:to>
      <xdr:col>6</xdr:col>
      <xdr:colOff>482600</xdr:colOff>
      <xdr:row>60</xdr:row>
      <xdr:rowOff>168275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H27"/>
  <sheetViews>
    <sheetView workbookViewId="0">
      <selection activeCell="G2" sqref="G2:G3"/>
    </sheetView>
  </sheetViews>
  <sheetFormatPr defaultRowHeight="15"/>
  <cols>
    <col min="1" max="1" width="3" customWidth="1"/>
    <col min="2" max="2" width="22.28515625" customWidth="1"/>
    <col min="3" max="3" width="14.5703125" bestFit="1" customWidth="1"/>
    <col min="4" max="5" width="20.7109375" customWidth="1"/>
    <col min="6" max="6" width="23" bestFit="1" customWidth="1"/>
    <col min="7" max="7" width="20.7109375" customWidth="1"/>
    <col min="8" max="8" width="23.7109375" bestFit="1" customWidth="1"/>
  </cols>
  <sheetData>
    <row r="1" spans="2:8" ht="15.75" thickBot="1"/>
    <row r="2" spans="2:8" ht="15.75">
      <c r="B2" s="228"/>
      <c r="C2" s="232" t="s">
        <v>192</v>
      </c>
      <c r="D2" s="233"/>
      <c r="E2" s="234"/>
      <c r="F2" s="127" t="s">
        <v>16</v>
      </c>
      <c r="G2" s="230"/>
    </row>
    <row r="3" spans="2:8" ht="15.75" thickBot="1">
      <c r="B3" s="229"/>
      <c r="C3" s="235"/>
      <c r="D3" s="236"/>
      <c r="E3" s="237"/>
      <c r="F3" s="112" t="s">
        <v>194</v>
      </c>
      <c r="G3" s="231"/>
    </row>
    <row r="4" spans="2:8" ht="15.75" thickBot="1">
      <c r="B4" s="238" t="s">
        <v>17</v>
      </c>
      <c r="C4" s="239"/>
      <c r="D4" s="239"/>
      <c r="E4" s="239"/>
      <c r="F4" s="239"/>
      <c r="G4" s="240"/>
    </row>
    <row r="5" spans="2:8" ht="70.5" customHeight="1" thickBot="1">
      <c r="B5" s="96" t="s">
        <v>18</v>
      </c>
      <c r="C5" s="225" t="s">
        <v>193</v>
      </c>
      <c r="D5" s="226"/>
      <c r="E5" s="226"/>
      <c r="F5" s="226"/>
      <c r="G5" s="227"/>
    </row>
    <row r="6" spans="2:8" ht="15.75" thickBot="1">
      <c r="B6" s="207" t="s">
        <v>106</v>
      </c>
      <c r="C6" s="208"/>
      <c r="D6" s="205"/>
      <c r="E6" s="206"/>
      <c r="F6" s="116" t="s">
        <v>164</v>
      </c>
      <c r="G6" s="123" t="s">
        <v>180</v>
      </c>
    </row>
    <row r="7" spans="2:8" ht="15.75" thickBot="1">
      <c r="B7" s="209" t="s">
        <v>147</v>
      </c>
      <c r="C7" s="210"/>
      <c r="D7" s="211"/>
      <c r="E7" s="212"/>
      <c r="F7" s="116" t="s">
        <v>196</v>
      </c>
      <c r="G7" s="118"/>
    </row>
    <row r="8" spans="2:8">
      <c r="B8" s="209" t="s">
        <v>159</v>
      </c>
      <c r="C8" s="210"/>
      <c r="D8" s="211"/>
      <c r="E8" s="212"/>
      <c r="F8" s="117" t="s">
        <v>19</v>
      </c>
      <c r="G8" s="115"/>
    </row>
    <row r="9" spans="2:8">
      <c r="B9" s="209" t="s">
        <v>158</v>
      </c>
      <c r="C9" s="210"/>
      <c r="D9" s="211"/>
      <c r="E9" s="212"/>
      <c r="F9" s="109" t="s">
        <v>21</v>
      </c>
      <c r="G9" s="95"/>
    </row>
    <row r="10" spans="2:8" ht="15.75" thickBot="1">
      <c r="B10" s="215" t="s">
        <v>160</v>
      </c>
      <c r="C10" s="216"/>
      <c r="D10" s="213"/>
      <c r="E10" s="214"/>
      <c r="F10" s="109" t="s">
        <v>20</v>
      </c>
      <c r="G10" s="95"/>
    </row>
    <row r="11" spans="2:8" ht="15.75" thickBot="1">
      <c r="B11" s="217" t="s">
        <v>190</v>
      </c>
      <c r="C11" s="218"/>
      <c r="D11" s="219"/>
      <c r="E11" s="220"/>
      <c r="F11" s="110" t="s">
        <v>22</v>
      </c>
      <c r="G11" s="103"/>
    </row>
    <row r="12" spans="2:8">
      <c r="B12" s="221" t="s">
        <v>195</v>
      </c>
      <c r="C12" s="222"/>
      <c r="D12" s="119" t="s">
        <v>2</v>
      </c>
      <c r="E12" s="113" t="s">
        <v>60</v>
      </c>
      <c r="F12" s="114" t="s">
        <v>3</v>
      </c>
      <c r="G12" s="11"/>
    </row>
    <row r="13" spans="2:8" ht="15.75" thickBot="1">
      <c r="B13" s="223"/>
      <c r="C13" s="224"/>
      <c r="D13" s="120"/>
      <c r="E13" s="111"/>
      <c r="F13" s="103"/>
      <c r="G13" s="11"/>
    </row>
    <row r="14" spans="2:8" ht="15.75" thickBot="1">
      <c r="B14" s="12"/>
      <c r="C14" s="12"/>
      <c r="D14" s="11"/>
      <c r="E14" s="12"/>
      <c r="F14" s="12"/>
      <c r="G14" s="12"/>
      <c r="H14" s="12"/>
    </row>
    <row r="15" spans="2:8" ht="15.75" thickBot="1">
      <c r="B15" s="198" t="s">
        <v>153</v>
      </c>
      <c r="C15" s="199"/>
      <c r="D15" s="199"/>
      <c r="E15" s="199"/>
      <c r="F15" s="199"/>
      <c r="G15" s="200"/>
    </row>
    <row r="16" spans="2:8">
      <c r="B16" s="82" t="s">
        <v>90</v>
      </c>
      <c r="C16" s="83" t="s">
        <v>79</v>
      </c>
      <c r="D16" s="83" t="s">
        <v>77</v>
      </c>
      <c r="E16" s="83" t="s">
        <v>154</v>
      </c>
      <c r="F16" s="83" t="s">
        <v>78</v>
      </c>
      <c r="G16" s="84" t="s">
        <v>71</v>
      </c>
    </row>
    <row r="17" spans="2:7">
      <c r="B17" s="126"/>
      <c r="C17" s="97"/>
      <c r="D17" s="97"/>
      <c r="E17" s="97"/>
      <c r="F17" s="97"/>
      <c r="G17" s="98"/>
    </row>
    <row r="18" spans="2:7">
      <c r="B18" s="85" t="s">
        <v>91</v>
      </c>
      <c r="C18" s="86" t="s">
        <v>79</v>
      </c>
      <c r="D18" s="87" t="s">
        <v>93</v>
      </c>
      <c r="E18" s="94" t="s">
        <v>154</v>
      </c>
      <c r="F18" s="87" t="s">
        <v>78</v>
      </c>
      <c r="G18" s="88" t="s">
        <v>71</v>
      </c>
    </row>
    <row r="19" spans="2:7">
      <c r="B19" s="99"/>
      <c r="C19" s="97"/>
      <c r="D19" s="97"/>
      <c r="E19" s="97"/>
      <c r="F19" s="97"/>
      <c r="G19" s="98"/>
    </row>
    <row r="20" spans="2:7" ht="28.5">
      <c r="B20" s="89" t="s">
        <v>92</v>
      </c>
      <c r="C20" s="90" t="s">
        <v>79</v>
      </c>
      <c r="D20" s="91" t="s">
        <v>94</v>
      </c>
      <c r="E20" s="92" t="s">
        <v>95</v>
      </c>
      <c r="F20" s="92" t="s">
        <v>96</v>
      </c>
      <c r="G20" s="93" t="s">
        <v>71</v>
      </c>
    </row>
    <row r="21" spans="2:7">
      <c r="B21" s="99"/>
      <c r="C21" s="97"/>
      <c r="D21" s="97"/>
      <c r="E21" s="97"/>
      <c r="F21" s="97"/>
      <c r="G21" s="98"/>
    </row>
    <row r="22" spans="2:7" ht="15.75" thickBot="1">
      <c r="B22" s="100"/>
      <c r="C22" s="101"/>
      <c r="D22" s="101"/>
      <c r="E22" s="101"/>
      <c r="F22" s="101"/>
      <c r="G22" s="102"/>
    </row>
    <row r="23" spans="2:7" ht="15.75" thickBot="1"/>
    <row r="24" spans="2:7" ht="15.75" thickBot="1">
      <c r="B24" s="198" t="s">
        <v>139</v>
      </c>
      <c r="C24" s="199"/>
      <c r="D24" s="199"/>
      <c r="E24" s="200"/>
    </row>
    <row r="25" spans="2:7" ht="29.25" thickBot="1">
      <c r="B25" s="121" t="s">
        <v>102</v>
      </c>
      <c r="C25" s="128" t="s">
        <v>140</v>
      </c>
      <c r="D25" s="128" t="s">
        <v>103</v>
      </c>
      <c r="E25" s="129" t="s">
        <v>104</v>
      </c>
    </row>
    <row r="26" spans="2:7">
      <c r="B26" s="201"/>
      <c r="C26" s="124" t="s">
        <v>141</v>
      </c>
      <c r="D26" s="203" t="s">
        <v>143</v>
      </c>
      <c r="E26" s="124" t="s">
        <v>191</v>
      </c>
    </row>
    <row r="27" spans="2:7">
      <c r="B27" s="202"/>
      <c r="C27" s="125" t="s">
        <v>142</v>
      </c>
      <c r="D27" s="204"/>
      <c r="E27" s="125" t="s">
        <v>144</v>
      </c>
    </row>
  </sheetData>
  <mergeCells count="22">
    <mergeCell ref="B12:C13"/>
    <mergeCell ref="C5:G5"/>
    <mergeCell ref="B2:B3"/>
    <mergeCell ref="G2:G3"/>
    <mergeCell ref="C2:E3"/>
    <mergeCell ref="B4:G4"/>
    <mergeCell ref="B24:E24"/>
    <mergeCell ref="B26:B27"/>
    <mergeCell ref="D26:D27"/>
    <mergeCell ref="B15:G15"/>
    <mergeCell ref="D6:E6"/>
    <mergeCell ref="B6:C6"/>
    <mergeCell ref="B7:C7"/>
    <mergeCell ref="D7:E7"/>
    <mergeCell ref="D8:E8"/>
    <mergeCell ref="D9:E9"/>
    <mergeCell ref="D10:E10"/>
    <mergeCell ref="B8:C8"/>
    <mergeCell ref="B9:C9"/>
    <mergeCell ref="B10:C10"/>
    <mergeCell ref="B11:C11"/>
    <mergeCell ref="D11:E11"/>
  </mergeCells>
  <conditionalFormatting sqref="C19 F19:G19">
    <cfRule type="containsBlanks" dxfId="60" priority="31">
      <formula>LEN(TRIM(C19))=0</formula>
    </cfRule>
  </conditionalFormatting>
  <conditionalFormatting sqref="C17">
    <cfRule type="containsBlanks" dxfId="59" priority="30">
      <formula>LEN(TRIM(C17))=0</formula>
    </cfRule>
  </conditionalFormatting>
  <conditionalFormatting sqref="B17">
    <cfRule type="containsBlanks" dxfId="58" priority="29">
      <formula>LEN(TRIM(B17))=0</formula>
    </cfRule>
  </conditionalFormatting>
  <conditionalFormatting sqref="B19">
    <cfRule type="containsBlanks" dxfId="57" priority="28">
      <formula>LEN(TRIM(B19))=0</formula>
    </cfRule>
  </conditionalFormatting>
  <conditionalFormatting sqref="B21">
    <cfRule type="containsBlanks" dxfId="56" priority="27">
      <formula>LEN(TRIM(B21))=0</formula>
    </cfRule>
  </conditionalFormatting>
  <conditionalFormatting sqref="F17">
    <cfRule type="containsBlanks" dxfId="55" priority="17">
      <formula>LEN(TRIM(F17))=0</formula>
    </cfRule>
  </conditionalFormatting>
  <conditionalFormatting sqref="C21:G21">
    <cfRule type="containsBlanks" dxfId="54" priority="25">
      <formula>LEN(TRIM(C21))=0</formula>
    </cfRule>
  </conditionalFormatting>
  <conditionalFormatting sqref="B22">
    <cfRule type="containsBlanks" dxfId="53" priority="24">
      <formula>LEN(TRIM(B22))=0</formula>
    </cfRule>
  </conditionalFormatting>
  <conditionalFormatting sqref="C22:G22">
    <cfRule type="containsBlanks" dxfId="52" priority="23">
      <formula>LEN(TRIM(C22))=0</formula>
    </cfRule>
  </conditionalFormatting>
  <conditionalFormatting sqref="D19">
    <cfRule type="containsBlanks" dxfId="51" priority="22">
      <formula>LEN(TRIM(D19))=0</formula>
    </cfRule>
  </conditionalFormatting>
  <conditionalFormatting sqref="D17">
    <cfRule type="containsBlanks" dxfId="50" priority="21">
      <formula>LEN(TRIM(D17))=0</formula>
    </cfRule>
  </conditionalFormatting>
  <conditionalFormatting sqref="G17">
    <cfRule type="containsBlanks" dxfId="49" priority="16">
      <formula>LEN(TRIM(G17))=0</formula>
    </cfRule>
  </conditionalFormatting>
  <conditionalFormatting sqref="E17">
    <cfRule type="containsBlanks" dxfId="48" priority="19">
      <formula>LEN(TRIM(E17))=0</formula>
    </cfRule>
  </conditionalFormatting>
  <conditionalFormatting sqref="E19">
    <cfRule type="containsBlanks" dxfId="47" priority="15">
      <formula>LEN(TRIM(E19))=0</formula>
    </cfRule>
  </conditionalFormatting>
  <conditionalFormatting sqref="D8">
    <cfRule type="containsBlanks" dxfId="46" priority="13">
      <formula>LEN(TRIM(D8))=0</formula>
    </cfRule>
  </conditionalFormatting>
  <conditionalFormatting sqref="D6">
    <cfRule type="containsBlanks" dxfId="45" priority="11">
      <formula>LEN(TRIM(D6))=0</formula>
    </cfRule>
  </conditionalFormatting>
  <conditionalFormatting sqref="D9">
    <cfRule type="containsBlanks" dxfId="44" priority="9">
      <formula>LEN(TRIM(D9))=0</formula>
    </cfRule>
  </conditionalFormatting>
  <conditionalFormatting sqref="D10">
    <cfRule type="containsBlanks" dxfId="43" priority="8">
      <formula>LEN(TRIM(D10))=0</formula>
    </cfRule>
  </conditionalFormatting>
  <conditionalFormatting sqref="B26:E27">
    <cfRule type="containsBlanks" dxfId="42" priority="32">
      <formula>LEN(TRIM(B26))=0</formula>
    </cfRule>
  </conditionalFormatting>
  <conditionalFormatting sqref="G6">
    <cfRule type="containsBlanks" dxfId="41" priority="6">
      <formula>LEN(TRIM(G6))=0</formula>
    </cfRule>
  </conditionalFormatting>
  <conditionalFormatting sqref="D7">
    <cfRule type="containsBlanks" dxfId="40" priority="5">
      <formula>LEN(TRIM(D7))=0</formula>
    </cfRule>
  </conditionalFormatting>
  <conditionalFormatting sqref="D11">
    <cfRule type="containsBlanks" dxfId="39" priority="4">
      <formula>LEN(TRIM(D11))=0</formula>
    </cfRule>
  </conditionalFormatting>
  <conditionalFormatting sqref="D12:D13">
    <cfRule type="containsBlanks" dxfId="38" priority="3">
      <formula>LEN(TRIM(D12))=0</formula>
    </cfRule>
  </conditionalFormatting>
  <conditionalFormatting sqref="E13">
    <cfRule type="containsBlanks" dxfId="37" priority="2">
      <formula>LEN(TRIM(E13))=0</formula>
    </cfRule>
  </conditionalFormatting>
  <conditionalFormatting sqref="F13">
    <cfRule type="containsBlanks" dxfId="36" priority="1">
      <formula>LEN(TRIM(F13))=0</formula>
    </cfRule>
  </conditionalFormatting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Служебное!$J$11:$J$16</xm:f>
          </x14:formula1>
          <xm:sqref>D7:E7</xm:sqref>
        </x14:dataValidation>
        <x14:dataValidation type="list" allowBlank="1" showInputMessage="1" showErrorMessage="1">
          <x14:formula1>
            <xm:f>Служебное!$K$11:$K$13</xm:f>
          </x14:formula1>
          <xm:sqref>D9:E9</xm:sqref>
        </x14:dataValidation>
        <x14:dataValidation type="list" allowBlank="1" showInputMessage="1" showErrorMessage="1">
          <x14:formula1>
            <xm:f>Служебное!$L$3:$L$6</xm:f>
          </x14:formula1>
          <xm:sqref>D17 D21:D22 D19</xm:sqref>
        </x14:dataValidation>
        <x14:dataValidation type="list" allowBlank="1" showInputMessage="1" showErrorMessage="1">
          <x14:formula1>
            <xm:f>Служебное!$L$11:$L$12</xm:f>
          </x14:formula1>
          <xm:sqref>D10:E10</xm:sqref>
        </x14:dataValidation>
        <x14:dataValidation type="list" allowBlank="1" showInputMessage="1" showErrorMessage="1">
          <x14:formula1>
            <xm:f>Служебное!$C$19:$C$23</xm:f>
          </x14:formula1>
          <xm:sqref>G6</xm:sqref>
        </x14:dataValidation>
        <x14:dataValidation type="list" allowBlank="1" showInputMessage="1" showErrorMessage="1">
          <x14:formula1>
            <xm:f>Служебное!$G$10:$G$13</xm:f>
          </x14:formula1>
          <xm:sqref>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B1:N49"/>
  <sheetViews>
    <sheetView topLeftCell="A21" workbookViewId="0">
      <selection activeCell="J50" sqref="J50"/>
    </sheetView>
  </sheetViews>
  <sheetFormatPr defaultRowHeight="15"/>
  <cols>
    <col min="1" max="1" width="3" customWidth="1"/>
    <col min="2" max="3" width="10.28515625" customWidth="1"/>
    <col min="7" max="7" width="9.140625" customWidth="1"/>
    <col min="8" max="8" width="21.42578125" customWidth="1"/>
    <col min="9" max="14" width="18.7109375" customWidth="1"/>
  </cols>
  <sheetData>
    <row r="1" spans="2:13" ht="15.75" thickBot="1"/>
    <row r="2" spans="2:13" ht="15.75" thickBot="1">
      <c r="B2" s="238" t="s">
        <v>61</v>
      </c>
      <c r="C2" s="239"/>
      <c r="D2" s="239"/>
      <c r="E2" s="239"/>
      <c r="F2" s="239"/>
      <c r="G2" s="239"/>
      <c r="H2" s="239"/>
      <c r="I2" s="239"/>
      <c r="J2" s="239"/>
      <c r="K2" s="240"/>
    </row>
    <row r="3" spans="2:13" ht="15.75" thickBot="1">
      <c r="B3" s="32" t="s">
        <v>2</v>
      </c>
      <c r="C3" s="266"/>
      <c r="D3" s="267"/>
      <c r="E3" s="33" t="s">
        <v>60</v>
      </c>
      <c r="F3" s="266"/>
      <c r="G3" s="267"/>
      <c r="H3" s="33" t="s">
        <v>3</v>
      </c>
      <c r="I3" s="34"/>
      <c r="J3" s="35" t="s">
        <v>59</v>
      </c>
      <c r="K3" s="81">
        <f>I3-C3</f>
        <v>0</v>
      </c>
    </row>
    <row r="4" spans="2:13">
      <c r="B4" s="27"/>
      <c r="D4" s="25"/>
      <c r="E4" s="28"/>
      <c r="G4" s="25"/>
      <c r="H4" s="28"/>
      <c r="J4" s="26"/>
      <c r="K4" s="25"/>
      <c r="L4" s="25"/>
    </row>
    <row r="5" spans="2:13" ht="15.75" thickBot="1">
      <c r="B5" s="27"/>
      <c r="D5" s="25"/>
      <c r="E5" s="28"/>
      <c r="G5" s="25"/>
      <c r="H5" s="28"/>
      <c r="J5" s="26"/>
      <c r="K5" s="25"/>
      <c r="L5" s="25"/>
    </row>
    <row r="6" spans="2:13" ht="15.75" thickBot="1">
      <c r="B6" s="273" t="s">
        <v>117</v>
      </c>
      <c r="C6" s="274"/>
      <c r="D6" s="268" t="s">
        <v>70</v>
      </c>
      <c r="E6" s="269"/>
      <c r="F6" s="270"/>
      <c r="G6" s="271" t="s">
        <v>119</v>
      </c>
      <c r="H6" s="277" t="s">
        <v>27</v>
      </c>
      <c r="I6" s="278"/>
      <c r="J6" s="278"/>
      <c r="K6" s="278"/>
      <c r="L6" s="278"/>
      <c r="M6" s="279"/>
    </row>
    <row r="7" spans="2:13" ht="15.75" thickBot="1">
      <c r="B7" s="275"/>
      <c r="C7" s="276"/>
      <c r="D7" s="29" t="s">
        <v>28</v>
      </c>
      <c r="E7" s="30" t="s">
        <v>118</v>
      </c>
      <c r="F7" s="31" t="s">
        <v>30</v>
      </c>
      <c r="G7" s="272"/>
      <c r="H7" s="280"/>
      <c r="I7" s="281"/>
      <c r="J7" s="281"/>
      <c r="K7" s="281"/>
      <c r="L7" s="281"/>
      <c r="M7" s="282"/>
    </row>
    <row r="8" spans="2:13" s="13" customFormat="1" ht="15" customHeight="1" thickBot="1">
      <c r="B8" s="253" t="s">
        <v>31</v>
      </c>
      <c r="C8" s="254"/>
      <c r="D8" s="36">
        <v>75</v>
      </c>
      <c r="E8" s="37">
        <v>75</v>
      </c>
      <c r="F8" s="38">
        <v>75</v>
      </c>
      <c r="G8" s="39">
        <v>75</v>
      </c>
      <c r="H8" s="264" t="s">
        <v>113</v>
      </c>
      <c r="I8" s="265"/>
      <c r="J8" s="265"/>
      <c r="K8" s="265"/>
      <c r="L8" s="265"/>
      <c r="M8" s="23" t="s">
        <v>112</v>
      </c>
    </row>
    <row r="9" spans="2:13" ht="15" customHeight="1" thickBot="1">
      <c r="B9" s="262" t="s">
        <v>32</v>
      </c>
      <c r="C9" s="263"/>
      <c r="D9" s="40">
        <v>75</v>
      </c>
      <c r="E9" s="41">
        <v>75</v>
      </c>
      <c r="F9" s="42">
        <v>75</v>
      </c>
      <c r="G9" s="43">
        <v>75</v>
      </c>
      <c r="H9" s="283" t="s">
        <v>200</v>
      </c>
      <c r="I9" s="284"/>
      <c r="J9" s="284"/>
      <c r="K9" s="284"/>
      <c r="L9" s="284"/>
      <c r="M9" s="107"/>
    </row>
    <row r="10" spans="2:13" ht="16.5" thickBot="1">
      <c r="B10" s="259" t="s">
        <v>33</v>
      </c>
      <c r="C10" s="260"/>
      <c r="D10" s="260"/>
      <c r="E10" s="260"/>
      <c r="F10" s="260"/>
      <c r="G10" s="261"/>
      <c r="H10" s="255" t="s">
        <v>201</v>
      </c>
      <c r="I10" s="256"/>
      <c r="J10" s="256"/>
      <c r="K10" s="256"/>
      <c r="L10" s="256"/>
      <c r="M10" s="107"/>
    </row>
    <row r="11" spans="2:13" ht="15" customHeight="1" thickBot="1">
      <c r="B11" s="247" t="s">
        <v>187</v>
      </c>
      <c r="C11" s="248"/>
      <c r="D11" s="248"/>
      <c r="E11" s="248"/>
      <c r="F11" s="248"/>
      <c r="G11" s="249"/>
      <c r="H11" s="255" t="s">
        <v>97</v>
      </c>
      <c r="I11" s="256"/>
      <c r="J11" s="256"/>
      <c r="K11" s="256"/>
      <c r="L11" s="256"/>
      <c r="M11" s="108"/>
    </row>
    <row r="12" spans="2:13" ht="15" hidden="1" customHeight="1">
      <c r="B12" s="104"/>
      <c r="C12" s="105"/>
      <c r="D12" s="105"/>
      <c r="E12" s="105"/>
      <c r="F12" s="105"/>
      <c r="G12" s="106"/>
      <c r="H12" s="45" t="s">
        <v>98</v>
      </c>
      <c r="I12" s="46"/>
      <c r="J12" s="46"/>
      <c r="K12" s="46"/>
      <c r="L12" s="46"/>
      <c r="M12" s="44"/>
    </row>
    <row r="13" spans="2:13" ht="15" hidden="1" customHeight="1">
      <c r="B13" s="104"/>
      <c r="C13" s="105"/>
      <c r="D13" s="105"/>
      <c r="E13" s="105"/>
      <c r="F13" s="105"/>
      <c r="G13" s="106"/>
      <c r="H13" s="45" t="s">
        <v>99</v>
      </c>
      <c r="I13" s="46"/>
      <c r="J13" s="46"/>
      <c r="K13" s="46"/>
      <c r="L13" s="46"/>
      <c r="M13" s="44"/>
    </row>
    <row r="14" spans="2:13" ht="15" hidden="1" customHeight="1">
      <c r="B14" s="104"/>
      <c r="C14" s="105"/>
      <c r="D14" s="105"/>
      <c r="E14" s="105"/>
      <c r="F14" s="105"/>
      <c r="G14" s="106"/>
      <c r="H14" s="45" t="s">
        <v>97</v>
      </c>
      <c r="I14" s="46"/>
      <c r="J14" s="46"/>
      <c r="K14" s="46"/>
      <c r="L14" s="46"/>
      <c r="M14" s="44"/>
    </row>
    <row r="15" spans="2:13" ht="15.75" thickBot="1">
      <c r="B15" s="244"/>
      <c r="C15" s="245"/>
      <c r="D15" s="245"/>
      <c r="E15" s="245"/>
      <c r="F15" s="245"/>
      <c r="G15" s="246"/>
      <c r="H15" s="255" t="s">
        <v>98</v>
      </c>
      <c r="I15" s="256"/>
      <c r="J15" s="256"/>
      <c r="K15" s="256"/>
      <c r="L15" s="256"/>
      <c r="M15" s="44"/>
    </row>
    <row r="16" spans="2:13" ht="15" customHeight="1" thickBot="1">
      <c r="B16" s="247" t="s">
        <v>189</v>
      </c>
      <c r="C16" s="248"/>
      <c r="D16" s="248"/>
      <c r="E16" s="248"/>
      <c r="F16" s="248"/>
      <c r="G16" s="249"/>
      <c r="H16" s="255" t="s">
        <v>99</v>
      </c>
      <c r="I16" s="256"/>
      <c r="J16" s="256"/>
      <c r="K16" s="256"/>
      <c r="L16" s="256"/>
      <c r="M16" s="44"/>
    </row>
    <row r="17" spans="2:13" ht="15.75" thickBot="1">
      <c r="B17" s="244"/>
      <c r="C17" s="245"/>
      <c r="D17" s="245"/>
      <c r="E17" s="245"/>
      <c r="F17" s="245"/>
      <c r="G17" s="246"/>
      <c r="H17" s="255" t="s">
        <v>100</v>
      </c>
      <c r="I17" s="256"/>
      <c r="J17" s="256"/>
      <c r="K17" s="256"/>
      <c r="L17" s="256"/>
      <c r="M17" s="44"/>
    </row>
    <row r="18" spans="2:13" ht="15" customHeight="1" thickBot="1">
      <c r="B18" s="247" t="s">
        <v>188</v>
      </c>
      <c r="C18" s="248"/>
      <c r="D18" s="248"/>
      <c r="E18" s="248"/>
      <c r="F18" s="248"/>
      <c r="G18" s="249"/>
      <c r="H18" s="285" t="s">
        <v>101</v>
      </c>
      <c r="I18" s="286"/>
      <c r="J18" s="286"/>
      <c r="K18" s="286"/>
      <c r="L18" s="286"/>
      <c r="M18" s="47"/>
    </row>
    <row r="19" spans="2:13" ht="15.75" thickBot="1">
      <c r="B19" s="241"/>
      <c r="C19" s="242"/>
      <c r="D19" s="242"/>
      <c r="E19" s="242"/>
      <c r="F19" s="242"/>
      <c r="G19" s="243"/>
      <c r="H19" s="285" t="s">
        <v>129</v>
      </c>
      <c r="I19" s="286"/>
      <c r="J19" s="286"/>
      <c r="K19" s="286"/>
      <c r="L19" s="286"/>
      <c r="M19" s="47"/>
    </row>
    <row r="20" spans="2:13" ht="15" customHeight="1" thickBot="1">
      <c r="B20" s="241"/>
      <c r="C20" s="242"/>
      <c r="D20" s="242"/>
      <c r="E20" s="242"/>
      <c r="F20" s="242"/>
      <c r="G20" s="243"/>
      <c r="H20" s="289" t="s">
        <v>114</v>
      </c>
      <c r="I20" s="290"/>
      <c r="J20" s="290"/>
      <c r="K20" s="290"/>
      <c r="L20" s="290"/>
      <c r="M20" s="23" t="s">
        <v>112</v>
      </c>
    </row>
    <row r="21" spans="2:13" ht="15.75" thickBot="1">
      <c r="B21" s="244"/>
      <c r="C21" s="245"/>
      <c r="D21" s="245"/>
      <c r="E21" s="245"/>
      <c r="F21" s="245"/>
      <c r="G21" s="246"/>
      <c r="H21" s="287" t="s">
        <v>200</v>
      </c>
      <c r="I21" s="288"/>
      <c r="J21" s="288"/>
      <c r="K21" s="288"/>
      <c r="L21" s="288"/>
      <c r="M21" s="107"/>
    </row>
    <row r="22" spans="2:13" ht="15" customHeight="1" thickBot="1">
      <c r="B22" s="247" t="s">
        <v>186</v>
      </c>
      <c r="C22" s="248"/>
      <c r="D22" s="248"/>
      <c r="E22" s="248"/>
      <c r="F22" s="248"/>
      <c r="G22" s="249"/>
      <c r="H22" s="255" t="s">
        <v>201</v>
      </c>
      <c r="I22" s="256"/>
      <c r="J22" s="256"/>
      <c r="K22" s="256"/>
      <c r="L22" s="256"/>
      <c r="M22" s="108"/>
    </row>
    <row r="23" spans="2:13">
      <c r="B23" s="241"/>
      <c r="C23" s="242"/>
      <c r="D23" s="242"/>
      <c r="E23" s="242"/>
      <c r="F23" s="242"/>
      <c r="G23" s="243"/>
      <c r="H23" s="255" t="s">
        <v>97</v>
      </c>
      <c r="I23" s="256"/>
      <c r="J23" s="256"/>
      <c r="K23" s="256"/>
      <c r="L23" s="256"/>
      <c r="M23" s="44"/>
    </row>
    <row r="24" spans="2:13">
      <c r="B24" s="241"/>
      <c r="C24" s="242"/>
      <c r="D24" s="242"/>
      <c r="E24" s="242"/>
      <c r="F24" s="242"/>
      <c r="G24" s="243"/>
      <c r="H24" s="255" t="s">
        <v>98</v>
      </c>
      <c r="I24" s="256"/>
      <c r="J24" s="256"/>
      <c r="K24" s="256"/>
      <c r="L24" s="256"/>
      <c r="M24" s="44"/>
    </row>
    <row r="25" spans="2:13" ht="15.75" thickBot="1">
      <c r="B25" s="244"/>
      <c r="C25" s="245"/>
      <c r="D25" s="245"/>
      <c r="E25" s="245"/>
      <c r="F25" s="245"/>
      <c r="G25" s="246"/>
      <c r="H25" s="257" t="s">
        <v>99</v>
      </c>
      <c r="I25" s="258"/>
      <c r="J25" s="258"/>
      <c r="K25" s="258"/>
      <c r="L25" s="258"/>
      <c r="M25" s="48"/>
    </row>
    <row r="26" spans="2:13" s="13" customFormat="1"/>
    <row r="27" spans="2:13" s="13" customFormat="1" ht="15.75" thickBot="1"/>
    <row r="28" spans="2:13" s="13" customFormat="1" ht="15" hidden="1" customHeight="1">
      <c r="H28" s="19"/>
      <c r="I28" s="19"/>
      <c r="J28" s="19"/>
      <c r="K28" s="20"/>
      <c r="L28" s="15"/>
    </row>
    <row r="29" spans="2:13" s="13" customFormat="1" ht="30.75" hidden="1" thickBot="1">
      <c r="B29"/>
      <c r="C29"/>
      <c r="D29"/>
      <c r="E29"/>
      <c r="F29"/>
      <c r="G29"/>
      <c r="H29" s="14" t="s">
        <v>74</v>
      </c>
      <c r="I29" s="14" t="s">
        <v>75</v>
      </c>
      <c r="J29" s="14" t="s">
        <v>72</v>
      </c>
      <c r="K29" s="14" t="s">
        <v>73</v>
      </c>
    </row>
    <row r="30" spans="2:13" s="13" customFormat="1" ht="15.75" hidden="1" thickBot="1">
      <c r="B30"/>
      <c r="C30"/>
      <c r="D30"/>
      <c r="E30"/>
      <c r="F30"/>
      <c r="G30"/>
      <c r="H30" s="16"/>
      <c r="I30" s="16"/>
      <c r="J30" s="16"/>
      <c r="K30" s="16"/>
    </row>
    <row r="31" spans="2:13" s="13" customFormat="1" ht="15.75" hidden="1" thickBot="1">
      <c r="B31"/>
      <c r="C31"/>
      <c r="D31"/>
      <c r="E31"/>
      <c r="F31"/>
      <c r="G31"/>
      <c r="H31" s="16"/>
      <c r="I31" s="16"/>
      <c r="J31" s="16"/>
      <c r="K31" s="16"/>
    </row>
    <row r="32" spans="2:13" s="13" customFormat="1" ht="15.75" hidden="1" thickBot="1">
      <c r="B32"/>
      <c r="C32"/>
      <c r="D32"/>
      <c r="E32"/>
      <c r="F32"/>
      <c r="G32"/>
      <c r="H32" s="16"/>
      <c r="I32" s="16"/>
      <c r="J32" s="16"/>
      <c r="K32" s="16"/>
    </row>
    <row r="33" spans="2:14" s="13" customFormat="1" ht="15.75" hidden="1" thickBot="1">
      <c r="B33"/>
      <c r="C33"/>
      <c r="D33"/>
      <c r="E33"/>
      <c r="F33"/>
      <c r="G33"/>
      <c r="H33" s="16"/>
      <c r="I33" s="16"/>
      <c r="J33" s="16"/>
      <c r="K33" s="16"/>
    </row>
    <row r="34" spans="2:14" s="13" customFormat="1" ht="15.75" hidden="1" thickBot="1">
      <c r="B34"/>
      <c r="C34"/>
      <c r="D34"/>
      <c r="E34"/>
      <c r="F34"/>
      <c r="G34"/>
      <c r="H34" s="16"/>
      <c r="I34" s="16"/>
      <c r="J34" s="16"/>
      <c r="K34" s="16"/>
    </row>
    <row r="35" spans="2:14" s="13" customFormat="1" ht="15.75" hidden="1" thickBot="1">
      <c r="B35"/>
      <c r="C35"/>
      <c r="D35"/>
      <c r="E35"/>
      <c r="F35"/>
      <c r="G35"/>
    </row>
    <row r="36" spans="2:14" ht="15.75" hidden="1" thickBot="1"/>
    <row r="37" spans="2:14" ht="15.75" hidden="1" thickBot="1"/>
    <row r="38" spans="2:14" ht="15.75" hidden="1" thickBot="1"/>
    <row r="39" spans="2:14" ht="15.75" hidden="1" thickBot="1"/>
    <row r="40" spans="2:14" ht="15.75" hidden="1" thickBot="1"/>
    <row r="41" spans="2:14" ht="15.75" thickBot="1">
      <c r="H41" s="250" t="s">
        <v>130</v>
      </c>
      <c r="I41" s="251"/>
      <c r="J41" s="251"/>
      <c r="K41" s="251"/>
      <c r="L41" s="252"/>
    </row>
    <row r="42" spans="2:14" ht="30" customHeight="1">
      <c r="H42" s="130"/>
      <c r="I42" s="131" t="s">
        <v>202</v>
      </c>
      <c r="J42" s="132" t="s">
        <v>203</v>
      </c>
      <c r="K42" s="132" t="s">
        <v>204</v>
      </c>
      <c r="L42" s="133" t="s">
        <v>205</v>
      </c>
    </row>
    <row r="43" spans="2:14">
      <c r="H43" s="134" t="s">
        <v>124</v>
      </c>
      <c r="I43" s="135">
        <v>41815</v>
      </c>
      <c r="J43" s="136">
        <v>41860</v>
      </c>
      <c r="K43" s="136">
        <v>41871</v>
      </c>
      <c r="L43" s="137">
        <v>41871</v>
      </c>
    </row>
    <row r="44" spans="2:14">
      <c r="H44" s="134" t="s">
        <v>125</v>
      </c>
      <c r="I44" s="138">
        <v>41860</v>
      </c>
      <c r="J44" s="139">
        <v>41866</v>
      </c>
      <c r="K44" s="139">
        <v>41871</v>
      </c>
      <c r="L44" s="140">
        <v>41881</v>
      </c>
    </row>
    <row r="45" spans="2:14">
      <c r="H45" s="134" t="s">
        <v>126</v>
      </c>
      <c r="I45" s="138">
        <v>41866</v>
      </c>
      <c r="J45" s="139">
        <v>41922</v>
      </c>
      <c r="K45" s="139">
        <v>41872</v>
      </c>
      <c r="L45" s="140">
        <v>41973</v>
      </c>
    </row>
    <row r="46" spans="2:14">
      <c r="H46" s="134" t="s">
        <v>127</v>
      </c>
      <c r="I46" s="138">
        <v>41815</v>
      </c>
      <c r="J46" s="139">
        <v>41860</v>
      </c>
      <c r="K46" s="139">
        <v>41897</v>
      </c>
      <c r="L46" s="140">
        <v>41968</v>
      </c>
    </row>
    <row r="47" spans="2:14" ht="15.75" thickBot="1">
      <c r="H47" s="141" t="s">
        <v>128</v>
      </c>
      <c r="I47" s="142">
        <v>41862</v>
      </c>
      <c r="J47" s="143">
        <v>41922</v>
      </c>
      <c r="K47" s="143">
        <v>41872</v>
      </c>
      <c r="L47" s="144">
        <v>41973</v>
      </c>
    </row>
    <row r="48" spans="2:14">
      <c r="I48" s="24"/>
      <c r="J48" s="24"/>
      <c r="K48" s="24"/>
      <c r="L48" s="24"/>
      <c r="N48" s="24"/>
    </row>
    <row r="49" spans="9:14">
      <c r="I49" s="24"/>
      <c r="J49" s="24"/>
      <c r="K49" s="24"/>
      <c r="L49" s="24"/>
      <c r="N49" s="24"/>
    </row>
  </sheetData>
  <mergeCells count="34">
    <mergeCell ref="H18:L18"/>
    <mergeCell ref="H17:L17"/>
    <mergeCell ref="H21:L21"/>
    <mergeCell ref="H20:L20"/>
    <mergeCell ref="H19:L19"/>
    <mergeCell ref="D6:F6"/>
    <mergeCell ref="G6:G7"/>
    <mergeCell ref="B6:C7"/>
    <mergeCell ref="H6:M7"/>
    <mergeCell ref="H9:L9"/>
    <mergeCell ref="B2:K2"/>
    <mergeCell ref="H41:L41"/>
    <mergeCell ref="B8:C8"/>
    <mergeCell ref="H10:L10"/>
    <mergeCell ref="H11:L11"/>
    <mergeCell ref="H15:L15"/>
    <mergeCell ref="H16:L16"/>
    <mergeCell ref="H22:L22"/>
    <mergeCell ref="H23:L23"/>
    <mergeCell ref="H24:L24"/>
    <mergeCell ref="H25:L25"/>
    <mergeCell ref="B10:G10"/>
    <mergeCell ref="B9:C9"/>
    <mergeCell ref="H8:L8"/>
    <mergeCell ref="C3:D3"/>
    <mergeCell ref="F3:G3"/>
    <mergeCell ref="B23:G25"/>
    <mergeCell ref="B19:G21"/>
    <mergeCell ref="B22:G22"/>
    <mergeCell ref="B11:G11"/>
    <mergeCell ref="B15:G15"/>
    <mergeCell ref="B16:G16"/>
    <mergeCell ref="B17:G17"/>
    <mergeCell ref="B18:G18"/>
  </mergeCells>
  <conditionalFormatting sqref="D8:G9">
    <cfRule type="iconSet" priority="6">
      <iconSet showValue="0">
        <cfvo type="percent" val="0"/>
        <cfvo type="num" val="45"/>
        <cfvo type="num" val="75"/>
      </iconSet>
    </cfRule>
  </conditionalFormatting>
  <conditionalFormatting sqref="K3">
    <cfRule type="cellIs" dxfId="35" priority="3" operator="greaterThan">
      <formula>0</formula>
    </cfRule>
    <cfRule type="cellIs" dxfId="34" priority="4" operator="lessThan">
      <formula>0</formula>
    </cfRule>
    <cfRule type="cellIs" priority="5" operator="lessThanOrEqual">
      <formula>0</formula>
    </cfRule>
  </conditionalFormatting>
  <conditionalFormatting sqref="I3 F3 C3">
    <cfRule type="containsBlanks" dxfId="33" priority="2">
      <formula>LEN(TRIM(C3))=0</formula>
    </cfRule>
  </conditionalFormatting>
  <conditionalFormatting sqref="B17:G17 B15:G15 B19:G21 B23:G25">
    <cfRule type="containsBlanks" dxfId="32" priority="1">
      <formula>LEN(TRIM(B15))=0</formula>
    </cfRule>
  </conditionalFormatting>
  <pageMargins left="0.7" right="0.7" top="0.75" bottom="0.75" header="0.3" footer="0.3"/>
  <pageSetup paperSize="9" orientation="landscape" r:id="rId1"/>
  <drawing r:id="rId2"/>
  <legacyDrawing r:id="rId3"/>
  <picture r:id="rId4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Служебное!$C$10:$C$12</xm:f>
          </x14:formula1>
          <xm:sqref>D8:G9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B1:U20"/>
  <sheetViews>
    <sheetView workbookViewId="0">
      <selection activeCell="E10" sqref="E10"/>
    </sheetView>
  </sheetViews>
  <sheetFormatPr defaultRowHeight="15"/>
  <cols>
    <col min="1" max="1" width="3" customWidth="1"/>
    <col min="2" max="2" width="8.7109375" customWidth="1"/>
    <col min="3" max="3" width="13.85546875" customWidth="1"/>
    <col min="4" max="4" width="12.7109375" customWidth="1"/>
    <col min="5" max="5" width="10.7109375" customWidth="1"/>
    <col min="6" max="6" width="12.7109375" customWidth="1"/>
    <col min="7" max="7" width="10.7109375" customWidth="1"/>
    <col min="8" max="8" width="12.7109375" customWidth="1"/>
    <col min="9" max="10" width="13.28515625" customWidth="1"/>
    <col min="11" max="11" width="8.7109375" customWidth="1"/>
    <col min="12" max="13" width="13.28515625" customWidth="1"/>
    <col min="14" max="14" width="25.7109375" customWidth="1"/>
    <col min="15" max="15" width="13.28515625" customWidth="1"/>
    <col min="16" max="16" width="10.7109375" customWidth="1"/>
    <col min="17" max="17" width="25.7109375" customWidth="1"/>
  </cols>
  <sheetData>
    <row r="1" spans="2:19" ht="15.75" thickBot="1"/>
    <row r="2" spans="2:19">
      <c r="B2" s="295" t="s">
        <v>69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7"/>
    </row>
    <row r="3" spans="2:19" ht="24" customHeight="1" thickBot="1">
      <c r="B3" s="75" t="s">
        <v>116</v>
      </c>
      <c r="C3" s="77" t="s">
        <v>64</v>
      </c>
      <c r="D3" s="77" t="s">
        <v>53</v>
      </c>
      <c r="E3" s="302" t="s">
        <v>115</v>
      </c>
      <c r="F3" s="302"/>
      <c r="G3" s="302"/>
      <c r="H3" s="302"/>
      <c r="I3" s="302"/>
      <c r="J3" s="302"/>
      <c r="K3" s="302"/>
      <c r="L3" s="302"/>
      <c r="M3" s="302"/>
      <c r="N3" s="302"/>
      <c r="O3" s="303"/>
    </row>
    <row r="4" spans="2:19" ht="26.25" customHeight="1">
      <c r="B4" s="49"/>
      <c r="C4" s="50"/>
      <c r="D4" s="50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</row>
    <row r="5" spans="2:19" ht="26.25" customHeight="1">
      <c r="B5" s="51"/>
      <c r="C5" s="52"/>
      <c r="D5" s="52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</row>
    <row r="6" spans="2:19" ht="26.25" customHeight="1">
      <c r="B6" s="51"/>
      <c r="C6" s="52"/>
      <c r="D6" s="52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</row>
    <row r="7" spans="2:19">
      <c r="B7" s="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2:19" ht="15.75" thickBot="1">
      <c r="B8" s="8"/>
      <c r="C8" s="7"/>
      <c r="D8" s="7"/>
      <c r="E8" s="9"/>
      <c r="F8" s="7"/>
      <c r="G8" s="7"/>
      <c r="H8" s="7"/>
      <c r="I8" s="7"/>
      <c r="J8" s="7"/>
      <c r="K8" s="7"/>
      <c r="L8" s="7"/>
      <c r="M8" s="7"/>
      <c r="N8" s="7"/>
      <c r="O8" s="7"/>
    </row>
    <row r="9" spans="2:19">
      <c r="B9" s="295" t="s">
        <v>70</v>
      </c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7"/>
    </row>
    <row r="10" spans="2:19" ht="24.75" thickBot="1">
      <c r="B10" s="78" t="s">
        <v>62</v>
      </c>
      <c r="C10" s="76" t="s">
        <v>63</v>
      </c>
      <c r="D10" s="76" t="s">
        <v>84</v>
      </c>
      <c r="E10" s="76" t="s">
        <v>85</v>
      </c>
      <c r="F10" s="306" t="s">
        <v>86</v>
      </c>
      <c r="G10" s="307"/>
      <c r="H10" s="307"/>
      <c r="I10" s="308"/>
      <c r="J10" s="306" t="s">
        <v>76</v>
      </c>
      <c r="K10" s="307"/>
      <c r="L10" s="307"/>
      <c r="M10" s="308"/>
      <c r="N10" s="76" t="s">
        <v>87</v>
      </c>
      <c r="O10" s="79" t="s">
        <v>88</v>
      </c>
    </row>
    <row r="11" spans="2:19" ht="26.25" customHeight="1">
      <c r="B11" s="49"/>
      <c r="C11" s="50"/>
      <c r="D11" s="50"/>
      <c r="E11" s="53"/>
      <c r="F11" s="309"/>
      <c r="G11" s="310"/>
      <c r="H11" s="310"/>
      <c r="I11" s="311"/>
      <c r="J11" s="309"/>
      <c r="K11" s="310"/>
      <c r="L11" s="310"/>
      <c r="M11" s="311"/>
      <c r="N11" s="50"/>
      <c r="O11" s="50"/>
    </row>
    <row r="12" spans="2:19" ht="26.25" customHeight="1">
      <c r="B12" s="54"/>
      <c r="C12" s="55"/>
      <c r="D12" s="55"/>
      <c r="E12" s="53"/>
      <c r="F12" s="312"/>
      <c r="G12" s="313"/>
      <c r="H12" s="313"/>
      <c r="I12" s="314"/>
      <c r="J12" s="312"/>
      <c r="K12" s="313"/>
      <c r="L12" s="313"/>
      <c r="M12" s="314"/>
      <c r="N12" s="55"/>
      <c r="O12" s="55"/>
    </row>
    <row r="13" spans="2:19">
      <c r="B13" s="8"/>
      <c r="C13" s="7"/>
      <c r="D13" s="7"/>
      <c r="E13" s="9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2:19" ht="15.75" thickBot="1">
      <c r="B14" s="5"/>
      <c r="C14" s="5"/>
      <c r="D14" s="5"/>
      <c r="E14" s="5"/>
      <c r="F14" s="5"/>
      <c r="G14" s="6"/>
      <c r="H14" s="5"/>
      <c r="I14" s="5"/>
      <c r="J14" s="5"/>
      <c r="K14" s="5"/>
      <c r="L14" s="5"/>
      <c r="M14" s="5"/>
      <c r="N14" s="5"/>
    </row>
    <row r="15" spans="2:19">
      <c r="B15" s="277" t="s">
        <v>105</v>
      </c>
      <c r="C15" s="278"/>
      <c r="D15" s="278"/>
      <c r="E15" s="278"/>
      <c r="F15" s="278"/>
      <c r="G15" s="278"/>
      <c r="H15" s="278"/>
      <c r="I15" s="278"/>
      <c r="J15" s="278"/>
      <c r="K15" s="278"/>
      <c r="L15" s="278"/>
      <c r="M15" s="278"/>
      <c r="N15" s="278"/>
      <c r="O15" s="278"/>
      <c r="P15" s="278"/>
      <c r="Q15" s="278"/>
      <c r="R15" s="278"/>
      <c r="S15" s="279"/>
    </row>
    <row r="16" spans="2:19">
      <c r="B16" s="298"/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300"/>
    </row>
    <row r="17" spans="2:21">
      <c r="B17" s="317" t="s">
        <v>62</v>
      </c>
      <c r="C17" s="319" t="s">
        <v>106</v>
      </c>
      <c r="D17" s="319" t="s">
        <v>107</v>
      </c>
      <c r="E17" s="319" t="s">
        <v>65</v>
      </c>
      <c r="F17" s="319" t="s">
        <v>66</v>
      </c>
      <c r="G17" s="319" t="s">
        <v>108</v>
      </c>
      <c r="H17" s="319" t="s">
        <v>68</v>
      </c>
      <c r="I17" s="321" t="s">
        <v>123</v>
      </c>
      <c r="J17" s="322"/>
      <c r="K17" s="319" t="s">
        <v>109</v>
      </c>
      <c r="L17" s="321" t="s">
        <v>122</v>
      </c>
      <c r="M17" s="322"/>
      <c r="N17" s="291" t="s">
        <v>110</v>
      </c>
      <c r="O17" s="305"/>
      <c r="P17" s="292"/>
      <c r="Q17" s="291" t="s">
        <v>111</v>
      </c>
      <c r="R17" s="292"/>
      <c r="S17" s="293" t="s">
        <v>6</v>
      </c>
    </row>
    <row r="18" spans="2:21" ht="15.75" thickBot="1">
      <c r="B18" s="318"/>
      <c r="C18" s="320"/>
      <c r="D18" s="320"/>
      <c r="E18" s="320"/>
      <c r="F18" s="320"/>
      <c r="G18" s="320"/>
      <c r="H18" s="320"/>
      <c r="I18" s="323"/>
      <c r="J18" s="324"/>
      <c r="K18" s="320"/>
      <c r="L18" s="323"/>
      <c r="M18" s="324"/>
      <c r="N18" s="80" t="s">
        <v>120</v>
      </c>
      <c r="O18" s="80" t="s">
        <v>145</v>
      </c>
      <c r="P18" s="80" t="s">
        <v>67</v>
      </c>
      <c r="Q18" s="80" t="s">
        <v>121</v>
      </c>
      <c r="R18" s="80" t="s">
        <v>67</v>
      </c>
      <c r="S18" s="294"/>
    </row>
    <row r="19" spans="2:21">
      <c r="B19" s="56"/>
      <c r="C19" s="56"/>
      <c r="D19" s="57"/>
      <c r="E19" s="56"/>
      <c r="F19" s="56"/>
      <c r="G19" s="58"/>
      <c r="H19" s="56"/>
      <c r="I19" s="315"/>
      <c r="J19" s="315"/>
      <c r="K19" s="56"/>
      <c r="L19" s="315"/>
      <c r="M19" s="315"/>
      <c r="N19" s="56"/>
      <c r="O19" s="59"/>
      <c r="P19" s="60"/>
      <c r="Q19" s="56"/>
      <c r="R19" s="60"/>
      <c r="S19" s="56"/>
      <c r="T19" s="21"/>
      <c r="U19" s="22"/>
    </row>
    <row r="20" spans="2:21">
      <c r="B20" s="61"/>
      <c r="C20" s="61"/>
      <c r="D20" s="62"/>
      <c r="E20" s="61"/>
      <c r="F20" s="61"/>
      <c r="G20" s="63"/>
      <c r="H20" s="61"/>
      <c r="I20" s="316"/>
      <c r="J20" s="316"/>
      <c r="K20" s="61"/>
      <c r="L20" s="316"/>
      <c r="M20" s="316"/>
      <c r="N20" s="61"/>
      <c r="O20" s="61"/>
      <c r="P20" s="61"/>
      <c r="Q20" s="61"/>
      <c r="R20" s="61"/>
      <c r="S20" s="61"/>
      <c r="T20" s="21"/>
      <c r="U20" s="22"/>
    </row>
  </sheetData>
  <mergeCells count="30">
    <mergeCell ref="I19:J19"/>
    <mergeCell ref="L19:M19"/>
    <mergeCell ref="I20:J20"/>
    <mergeCell ref="L20:M20"/>
    <mergeCell ref="B17:B18"/>
    <mergeCell ref="C17:C18"/>
    <mergeCell ref="D17:D18"/>
    <mergeCell ref="E17:E18"/>
    <mergeCell ref="F17:F18"/>
    <mergeCell ref="G17:G18"/>
    <mergeCell ref="H17:H18"/>
    <mergeCell ref="I17:J18"/>
    <mergeCell ref="K17:K18"/>
    <mergeCell ref="L17:M18"/>
    <mergeCell ref="Q17:R17"/>
    <mergeCell ref="S17:S18"/>
    <mergeCell ref="B9:O9"/>
    <mergeCell ref="B2:O2"/>
    <mergeCell ref="B15:S16"/>
    <mergeCell ref="E4:O4"/>
    <mergeCell ref="E3:O3"/>
    <mergeCell ref="E5:O5"/>
    <mergeCell ref="E6:O6"/>
    <mergeCell ref="N17:P17"/>
    <mergeCell ref="F10:I10"/>
    <mergeCell ref="F11:I11"/>
    <mergeCell ref="F12:I12"/>
    <mergeCell ref="J10:M10"/>
    <mergeCell ref="J11:M11"/>
    <mergeCell ref="J12:M12"/>
  </mergeCells>
  <conditionalFormatting sqref="G8:H8 D4:E4 D5:D7">
    <cfRule type="containsText" dxfId="31" priority="136" operator="containsText" text="красный">
      <formula>NOT(ISERROR(SEARCH("красный",D4)))</formula>
    </cfRule>
    <cfRule type="containsText" dxfId="30" priority="137" operator="containsText" text="красный">
      <formula>NOT(ISERROR(SEARCH("красный",D4)))</formula>
    </cfRule>
    <cfRule type="containsText" dxfId="29" priority="138" operator="containsText" text="желтый ">
      <formula>NOT(ISERROR(SEARCH("желтый ",D4)))</formula>
    </cfRule>
  </conditionalFormatting>
  <conditionalFormatting sqref="G8:H8 D4:E4 D5:D7">
    <cfRule type="containsText" dxfId="28" priority="139" operator="containsText" text="зеленый">
      <formula>NOT(ISERROR(SEARCH("зеленый",D4)))</formula>
    </cfRule>
  </conditionalFormatting>
  <conditionalFormatting sqref="G8:H8 D4:E4 D5:D7">
    <cfRule type="containsText" dxfId="27" priority="131" operator="containsText" text="красный">
      <formula>NOT(ISERROR(SEARCH("красный",D4)))</formula>
    </cfRule>
    <cfRule type="containsText" dxfId="26" priority="132" operator="containsText" text="красный">
      <formula>NOT(ISERROR(SEARCH("красный",D4)))</formula>
    </cfRule>
    <cfRule type="containsText" dxfId="25" priority="133" operator="containsText" text="красный">
      <formula>NOT(ISERROR(SEARCH("красный",D4)))</formula>
    </cfRule>
    <cfRule type="containsText" dxfId="24" priority="134" operator="containsText" text="желтый ">
      <formula>NOT(ISERROR(SEARCH("желтый ",D4)))</formula>
    </cfRule>
    <cfRule type="containsText" dxfId="23" priority="135" operator="containsText" text="желтый ">
      <formula>NOT(ISERROR(SEARCH("желтый ",D4)))</formula>
    </cfRule>
  </conditionalFormatting>
  <conditionalFormatting sqref="E6:E7">
    <cfRule type="containsText" dxfId="22" priority="64" operator="containsText" text="красный">
      <formula>NOT(ISERROR(SEARCH("красный",E6)))</formula>
    </cfRule>
    <cfRule type="containsText" dxfId="21" priority="65" operator="containsText" text="красный">
      <formula>NOT(ISERROR(SEARCH("красный",E6)))</formula>
    </cfRule>
    <cfRule type="containsText" dxfId="20" priority="66" operator="containsText" text="желтый ">
      <formula>NOT(ISERROR(SEARCH("желтый ",E6)))</formula>
    </cfRule>
  </conditionalFormatting>
  <conditionalFormatting sqref="E6:E7">
    <cfRule type="containsText" dxfId="19" priority="67" operator="containsText" text="зеленый">
      <formula>NOT(ISERROR(SEARCH("зеленый",E6)))</formula>
    </cfRule>
  </conditionalFormatting>
  <conditionalFormatting sqref="E6:E7">
    <cfRule type="containsText" dxfId="18" priority="59" operator="containsText" text="красный">
      <formula>NOT(ISERROR(SEARCH("красный",E6)))</formula>
    </cfRule>
    <cfRule type="containsText" dxfId="17" priority="60" operator="containsText" text="красный">
      <formula>NOT(ISERROR(SEARCH("красный",E6)))</formula>
    </cfRule>
    <cfRule type="containsText" dxfId="16" priority="61" operator="containsText" text="красный">
      <formula>NOT(ISERROR(SEARCH("красный",E6)))</formula>
    </cfRule>
    <cfRule type="containsText" dxfId="15" priority="62" operator="containsText" text="желтый ">
      <formula>NOT(ISERROR(SEARCH("желтый ",E6)))</formula>
    </cfRule>
    <cfRule type="containsText" dxfId="14" priority="63" operator="containsText" text="желтый ">
      <formula>NOT(ISERROR(SEARCH("желтый ",E6)))</formula>
    </cfRule>
  </conditionalFormatting>
  <conditionalFormatting sqref="E5">
    <cfRule type="containsText" dxfId="13" priority="6" operator="containsText" text="красный">
      <formula>NOT(ISERROR(SEARCH("красный",E5)))</formula>
    </cfRule>
    <cfRule type="containsText" dxfId="12" priority="7" operator="containsText" text="красный">
      <formula>NOT(ISERROR(SEARCH("красный",E5)))</formula>
    </cfRule>
    <cfRule type="containsText" dxfId="11" priority="8" operator="containsText" text="желтый ">
      <formula>NOT(ISERROR(SEARCH("желтый ",E5)))</formula>
    </cfRule>
  </conditionalFormatting>
  <conditionalFormatting sqref="E5">
    <cfRule type="containsText" dxfId="10" priority="9" operator="containsText" text="зеленый">
      <formula>NOT(ISERROR(SEARCH("зеленый",E5)))</formula>
    </cfRule>
  </conditionalFormatting>
  <conditionalFormatting sqref="E5">
    <cfRule type="containsText" dxfId="9" priority="1" operator="containsText" text="красный">
      <formula>NOT(ISERROR(SEARCH("красный",E5)))</formula>
    </cfRule>
    <cfRule type="containsText" dxfId="8" priority="2" operator="containsText" text="красный">
      <formula>NOT(ISERROR(SEARCH("красный",E5)))</formula>
    </cfRule>
    <cfRule type="containsText" dxfId="7" priority="3" operator="containsText" text="красный">
      <formula>NOT(ISERROR(SEARCH("красный",E5)))</formula>
    </cfRule>
    <cfRule type="containsText" dxfId="6" priority="4" operator="containsText" text="желтый ">
      <formula>NOT(ISERROR(SEARCH("желтый ",E5)))</formula>
    </cfRule>
    <cfRule type="containsText" dxfId="5" priority="5" operator="containsText" text="желтый ">
      <formula>NOT(ISERROR(SEARCH("желтый ",E5)))</formula>
    </cfRule>
  </conditionalFormatting>
  <dataValidations count="4">
    <dataValidation type="list" allowBlank="1" showInputMessage="1" showErrorMessage="1" sqref="S19:S20">
      <formula1>"Открыт, Закрыт"</formula1>
    </dataValidation>
    <dataValidation showDropDown="1" showInputMessage="1" showErrorMessage="1" sqref="D3"/>
    <dataValidation type="list" allowBlank="1" showInputMessage="1" showErrorMessage="1" sqref="F19:F20">
      <formula1>"Низкая, Средняя, Высокая, Очень высокая"</formula1>
    </dataValidation>
    <dataValidation type="list" allowBlank="1" showInputMessage="1" showErrorMessage="1" sqref="E15:E17 E19:E20">
      <formula1>"Ресурсы, Бюджет, Сроки, Скоуп, Качество, Другой"</formula1>
    </dataValidation>
  </dataValidations>
  <pageMargins left="0.25" right="0.25" top="0.75" bottom="0.75" header="0.3" footer="0.3"/>
  <pageSetup paperSize="9" orientation="landscape" r:id="rId1"/>
  <picture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0" id="{41A4B4B7-1373-48E4-BAAD-989887E258AB}">
            <xm:f>EXACT(E4,'\Users\Katya\Documents\Отчеты\[Raiff_All_Projects_ Issues and Risks Log_14.11.13.xlsx]План платежей'!#REF!)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14:cfRule type="expression" priority="141" id="{5A0CB806-E817-40D1-9E40-AE0B774B123A}">
            <xm:f>EXACT(E4,'\Users\Katya\Documents\Отчеты\[Raiff_All_Projects_ Issues and Risks Log_14.11.13.xlsx]План платежей'!#REF!)</xm:f>
            <x14:dxf>
              <font>
                <color rgb="FFFFFF00"/>
              </font>
              <fill>
                <patternFill>
                  <bgColor rgb="FFFFFF00"/>
                </patternFill>
              </fill>
            </x14:dxf>
          </x14:cfRule>
          <x14:cfRule type="expression" priority="142" id="{82BE0DA4-D39D-4CF4-8A33-B43548CC4A13}">
            <xm:f>EXACT(E4,'\Users\Katya\Documents\Отчеты\[Raiff_All_Projects_ Issues and Risks Log_14.11.13.xlsx]План платежей'!#REF!)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H8 E4</xm:sqref>
        </x14:conditionalFormatting>
        <x14:conditionalFormatting xmlns:xm="http://schemas.microsoft.com/office/excel/2006/main">
          <x14:cfRule type="expression" priority="68" id="{CDD52366-0DD7-4271-9061-1D614F58E601}">
            <xm:f>EXACT(E6,'\Users\Katya\Documents\Отчеты\[Raiff_All_Projects_ Issues and Risks Log_14.11.13.xlsx]План платежей'!#REF!)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14:cfRule type="expression" priority="69" id="{E7E80ED5-B49B-4101-944E-2AE56334ECE1}">
            <xm:f>EXACT(E6,'\Users\Katya\Documents\Отчеты\[Raiff_All_Projects_ Issues and Risks Log_14.11.13.xlsx]План платежей'!#REF!)</xm:f>
            <x14:dxf>
              <font>
                <color rgb="FFFFFF00"/>
              </font>
              <fill>
                <patternFill>
                  <bgColor rgb="FFFFFF00"/>
                </patternFill>
              </fill>
            </x14:dxf>
          </x14:cfRule>
          <x14:cfRule type="expression" priority="70" id="{BC317190-A6C1-407A-A60D-60959C6F750E}">
            <xm:f>EXACT(E6,'\Users\Katya\Documents\Отчеты\[Raiff_All_Projects_ Issues and Risks Log_14.11.13.xlsx]План платежей'!#REF!)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E6:E7</xm:sqref>
        </x14:conditionalFormatting>
        <x14:conditionalFormatting xmlns:xm="http://schemas.microsoft.com/office/excel/2006/main">
          <x14:cfRule type="containsText" priority="146" operator="containsText" id="{D37CA327-B122-43AC-997E-F5D23BA50FAD}">
            <xm:f>NOT(ISERROR(SEARCH(Служебное!$B$5,E11)))</xm:f>
            <xm:f>Служебное!$B$5</xm:f>
            <x14:dxf>
              <font>
                <color auto="1"/>
              </font>
              <fill>
                <patternFill>
                  <bgColor rgb="FFC6EFCE"/>
                </patternFill>
              </fill>
            </x14:dxf>
          </x14:cfRule>
          <xm:sqref>E11:E12</xm:sqref>
        </x14:conditionalFormatting>
        <x14:conditionalFormatting xmlns:xm="http://schemas.microsoft.com/office/excel/2006/main">
          <x14:cfRule type="containsText" priority="147" operator="containsText" id="{FB66460A-23B6-4B43-B06D-493DC86AA78E}">
            <xm:f>NOT(ISERROR(SEARCH(Служебное!$B$7,E11)))</xm:f>
            <xm:f>Служебное!$B$7</xm:f>
            <x14:dxf>
              <fill>
                <patternFill>
                  <bgColor rgb="FFFFC7CE"/>
                </patternFill>
              </fill>
            </x14:dxf>
          </x14:cfRule>
          <x14:cfRule type="containsText" priority="148" operator="containsText" id="{6ADE9BD3-D32F-4403-A35A-6817F946EF23}">
            <xm:f>NOT(ISERROR(SEARCH(Служебное!$B$6,E11)))</xm:f>
            <xm:f>Служебное!$B$6</xm:f>
            <x14:dxf>
              <font>
                <color auto="1"/>
              </font>
              <fill>
                <patternFill>
                  <bgColor rgb="FFFFEB9C"/>
                </patternFill>
              </fill>
            </x14:dxf>
          </x14:cfRule>
          <xm:sqref>E11:E12</xm:sqref>
        </x14:conditionalFormatting>
        <x14:conditionalFormatting xmlns:xm="http://schemas.microsoft.com/office/excel/2006/main">
          <x14:cfRule type="expression" priority="10" id="{E586E6B0-013D-4AFE-A1A1-F5FB6A45FED6}">
            <xm:f>EXACT(E5,'\Users\Katya\Documents\Отчеты\[Raiff_All_Projects_ Issues and Risks Log_14.11.13.xlsx]План платежей'!#REF!)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14:cfRule type="expression" priority="11" id="{2B18890A-4CD3-42DF-A019-92C0BC35214D}">
            <xm:f>EXACT(E5,'\Users\Katya\Documents\Отчеты\[Raiff_All_Projects_ Issues and Risks Log_14.11.13.xlsx]План платежей'!#REF!)</xm:f>
            <x14:dxf>
              <font>
                <color rgb="FFFFFF00"/>
              </font>
              <fill>
                <patternFill>
                  <bgColor rgb="FFFFFF00"/>
                </patternFill>
              </fill>
            </x14:dxf>
          </x14:cfRule>
          <x14:cfRule type="expression" priority="12" id="{68B36D05-54AF-4B23-97F1-D75A95AC5D8C}">
            <xm:f>EXACT(E5,'\Users\Katya\Documents\Отчеты\[Raiff_All_Projects_ Issues and Risks Log_14.11.13.xlsx]План платежей'!#REF!)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E5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Служебное!$C$5:$C$7</xm:f>
          </x14:formula1>
          <xm:sqref>D4:D6</xm:sqref>
        </x14:dataValidation>
        <x14:dataValidation type="list" allowBlank="1" showInputMessage="1" showErrorMessage="1">
          <x14:formula1>
            <xm:f>Служебное!$B$5:$B$7</xm:f>
          </x14:formula1>
          <xm:sqref>E11:E12</xm:sqref>
        </x14:dataValidation>
        <x14:dataValidation type="list" allowBlank="1" showInputMessage="1" showErrorMessage="1">
          <x14:formula1>
            <xm:f>Служебное!$J$3:$J$8</xm:f>
          </x14:formula1>
          <xm:sqref>C11:C12</xm:sqref>
        </x14:dataValidation>
        <x14:dataValidation type="list" allowBlank="1" showInputMessage="1" showErrorMessage="1">
          <x14:formula1>
            <xm:f>Служебное!$K$4:$K$6</xm:f>
          </x14:formula1>
          <xm:sqref>D12</xm:sqref>
        </x14:dataValidation>
        <x14:dataValidation type="list" allowBlank="1" showInputMessage="1" showErrorMessage="1">
          <x14:formula1>
            <xm:f>Служебное!$K$3:$K$7</xm:f>
          </x14:formula1>
          <xm:sqref>C4:C6</xm:sqref>
        </x14:dataValidation>
        <x14:dataValidation type="list" allowBlank="1" showInputMessage="1" showErrorMessage="1">
          <x14:formula1>
            <xm:f>Служебное!$K$4:$K$7</xm:f>
          </x14:formula1>
          <xm:sqref>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>
    <tabColor theme="0" tint="-4.9989318521683403E-2"/>
  </sheetPr>
  <dimension ref="B2:K33"/>
  <sheetViews>
    <sheetView workbookViewId="0">
      <selection activeCell="J4" sqref="J4"/>
    </sheetView>
  </sheetViews>
  <sheetFormatPr defaultRowHeight="15"/>
  <cols>
    <col min="1" max="1" width="3" customWidth="1"/>
    <col min="2" max="2" width="4.5703125" customWidth="1"/>
    <col min="3" max="3" width="57.7109375" customWidth="1"/>
    <col min="4" max="4" width="15.140625" customWidth="1"/>
    <col min="5" max="5" width="17.140625" customWidth="1"/>
    <col min="6" max="6" width="11.85546875" customWidth="1"/>
    <col min="7" max="7" width="13.7109375" customWidth="1"/>
    <col min="8" max="8" width="18.7109375" customWidth="1"/>
    <col min="9" max="9" width="14.42578125" customWidth="1"/>
    <col min="11" max="11" width="13.28515625" customWidth="1"/>
    <col min="12" max="12" width="14.85546875" customWidth="1"/>
  </cols>
  <sheetData>
    <row r="2" spans="2:11">
      <c r="B2" s="329" t="s">
        <v>62</v>
      </c>
      <c r="C2" s="325" t="s">
        <v>89</v>
      </c>
      <c r="D2" s="326"/>
      <c r="E2" s="326"/>
      <c r="F2" s="326"/>
      <c r="G2" s="326"/>
      <c r="H2" s="326"/>
      <c r="I2" s="327" t="s">
        <v>208</v>
      </c>
      <c r="J2" s="327" t="s">
        <v>209</v>
      </c>
      <c r="K2" s="325" t="s">
        <v>210</v>
      </c>
    </row>
    <row r="3" spans="2:11" ht="29.25">
      <c r="B3" s="330"/>
      <c r="C3" s="194" t="s">
        <v>211</v>
      </c>
      <c r="D3" s="194" t="s">
        <v>212</v>
      </c>
      <c r="E3" s="194" t="s">
        <v>213</v>
      </c>
      <c r="F3" s="194" t="s">
        <v>216</v>
      </c>
      <c r="G3" s="194" t="s">
        <v>214</v>
      </c>
      <c r="H3" s="194" t="s">
        <v>215</v>
      </c>
      <c r="I3" s="328"/>
      <c r="J3" s="328"/>
      <c r="K3" s="326"/>
    </row>
    <row r="4" spans="2:11">
      <c r="B4" s="122"/>
      <c r="C4" s="122"/>
      <c r="D4" s="122"/>
      <c r="E4" s="195"/>
      <c r="F4" s="122"/>
      <c r="G4" s="122"/>
      <c r="H4" s="122"/>
      <c r="I4" s="197"/>
      <c r="J4" s="197"/>
      <c r="K4" s="196"/>
    </row>
    <row r="5" spans="2:11">
      <c r="B5" s="122"/>
      <c r="C5" s="122"/>
      <c r="D5" s="122"/>
      <c r="E5" s="122"/>
      <c r="F5" s="122"/>
      <c r="G5" s="122"/>
      <c r="H5" s="122"/>
      <c r="I5" s="197"/>
      <c r="J5" s="197"/>
      <c r="K5" s="196"/>
    </row>
    <row r="6" spans="2:11">
      <c r="B6" s="122"/>
      <c r="C6" s="122"/>
      <c r="D6" s="122"/>
      <c r="E6" s="122"/>
      <c r="F6" s="122"/>
      <c r="G6" s="122"/>
      <c r="H6" s="122"/>
      <c r="I6" s="197"/>
      <c r="J6" s="197"/>
      <c r="K6" s="196"/>
    </row>
    <row r="7" spans="2:11">
      <c r="B7" s="122"/>
      <c r="C7" s="122"/>
      <c r="D7" s="122"/>
      <c r="E7" s="122"/>
      <c r="F7" s="122"/>
      <c r="G7" s="122"/>
      <c r="H7" s="122"/>
      <c r="I7" s="197"/>
      <c r="J7" s="197"/>
      <c r="K7" s="196"/>
    </row>
    <row r="8" spans="2:11">
      <c r="B8" s="122"/>
      <c r="C8" s="122"/>
      <c r="D8" s="122"/>
      <c r="E8" s="122"/>
      <c r="F8" s="122"/>
      <c r="G8" s="122"/>
      <c r="H8" s="122"/>
      <c r="I8" s="197"/>
      <c r="J8" s="197"/>
      <c r="K8" s="196"/>
    </row>
    <row r="9" spans="2:11">
      <c r="B9" s="122"/>
      <c r="C9" s="122"/>
      <c r="D9" s="122"/>
      <c r="E9" s="122"/>
      <c r="F9" s="122"/>
      <c r="G9" s="122"/>
      <c r="H9" s="122"/>
      <c r="I9" s="197"/>
      <c r="J9" s="197"/>
      <c r="K9" s="196"/>
    </row>
    <row r="10" spans="2:11">
      <c r="B10" s="122"/>
      <c r="C10" s="122"/>
      <c r="D10" s="122"/>
      <c r="E10" s="122"/>
      <c r="F10" s="122"/>
      <c r="G10" s="122"/>
      <c r="H10" s="122"/>
      <c r="I10" s="197"/>
      <c r="J10" s="197"/>
      <c r="K10" s="196"/>
    </row>
    <row r="11" spans="2:11">
      <c r="B11" s="122"/>
      <c r="C11" s="122"/>
      <c r="D11" s="122"/>
      <c r="E11" s="122"/>
      <c r="F11" s="122"/>
      <c r="G11" s="122"/>
      <c r="H11" s="122"/>
      <c r="I11" s="197"/>
      <c r="J11" s="197"/>
      <c r="K11" s="196"/>
    </row>
    <row r="12" spans="2:11">
      <c r="B12" s="122"/>
      <c r="C12" s="122"/>
      <c r="D12" s="122"/>
      <c r="E12" s="122"/>
      <c r="F12" s="122"/>
      <c r="G12" s="122"/>
      <c r="H12" s="122"/>
      <c r="I12" s="197"/>
      <c r="J12" s="197"/>
      <c r="K12" s="196"/>
    </row>
    <row r="13" spans="2:11">
      <c r="B13" s="122"/>
      <c r="C13" s="122"/>
      <c r="D13" s="122"/>
      <c r="E13" s="122"/>
      <c r="F13" s="122"/>
      <c r="G13" s="122"/>
      <c r="H13" s="122"/>
      <c r="I13" s="197"/>
      <c r="J13" s="197"/>
      <c r="K13" s="196"/>
    </row>
    <row r="14" spans="2:11">
      <c r="B14" s="122"/>
      <c r="C14" s="122"/>
      <c r="D14" s="122"/>
      <c r="E14" s="122"/>
      <c r="F14" s="122"/>
      <c r="G14" s="122"/>
      <c r="H14" s="122"/>
      <c r="I14" s="197"/>
      <c r="J14" s="197"/>
      <c r="K14" s="196"/>
    </row>
    <row r="15" spans="2:11">
      <c r="B15" s="122"/>
      <c r="C15" s="122"/>
      <c r="D15" s="122"/>
      <c r="E15" s="122"/>
      <c r="F15" s="122"/>
      <c r="G15" s="122"/>
      <c r="H15" s="122"/>
      <c r="I15" s="197"/>
      <c r="J15" s="197"/>
      <c r="K15" s="196"/>
    </row>
    <row r="16" spans="2:11">
      <c r="B16" s="122"/>
      <c r="C16" s="122"/>
      <c r="D16" s="122"/>
      <c r="E16" s="122"/>
      <c r="F16" s="122"/>
      <c r="G16" s="122"/>
      <c r="H16" s="122"/>
      <c r="I16" s="197"/>
      <c r="J16" s="197"/>
      <c r="K16" s="196"/>
    </row>
    <row r="17" spans="2:11">
      <c r="B17" s="122"/>
      <c r="C17" s="122"/>
      <c r="D17" s="122"/>
      <c r="E17" s="122"/>
      <c r="F17" s="122"/>
      <c r="G17" s="122"/>
      <c r="H17" s="122"/>
      <c r="I17" s="197"/>
      <c r="J17" s="197"/>
      <c r="K17" s="196"/>
    </row>
    <row r="18" spans="2:11">
      <c r="B18" s="122"/>
      <c r="C18" s="122"/>
      <c r="D18" s="122"/>
      <c r="E18" s="122"/>
      <c r="F18" s="122"/>
      <c r="G18" s="122"/>
      <c r="H18" s="122"/>
      <c r="I18" s="197"/>
      <c r="J18" s="197"/>
      <c r="K18" s="196"/>
    </row>
    <row r="19" spans="2:11">
      <c r="B19" s="122"/>
      <c r="C19" s="122"/>
      <c r="D19" s="122"/>
      <c r="E19" s="122"/>
      <c r="F19" s="122"/>
      <c r="G19" s="122"/>
      <c r="H19" s="122"/>
      <c r="I19" s="197"/>
      <c r="J19" s="197"/>
      <c r="K19" s="196"/>
    </row>
    <row r="20" spans="2:11">
      <c r="B20" s="122"/>
      <c r="C20" s="122"/>
      <c r="D20" s="122"/>
      <c r="E20" s="122"/>
      <c r="F20" s="122"/>
      <c r="G20" s="122"/>
      <c r="H20" s="122"/>
      <c r="I20" s="197"/>
      <c r="J20" s="197"/>
      <c r="K20" s="196"/>
    </row>
    <row r="21" spans="2:11">
      <c r="B21" s="122"/>
      <c r="C21" s="122"/>
      <c r="D21" s="122"/>
      <c r="E21" s="122"/>
      <c r="F21" s="122"/>
      <c r="G21" s="122"/>
      <c r="H21" s="122"/>
      <c r="I21" s="197"/>
      <c r="J21" s="197"/>
      <c r="K21" s="196"/>
    </row>
    <row r="22" spans="2:11">
      <c r="B22" s="122"/>
      <c r="C22" s="122"/>
      <c r="D22" s="122"/>
      <c r="E22" s="122"/>
      <c r="F22" s="122"/>
      <c r="G22" s="122"/>
      <c r="H22" s="122"/>
      <c r="I22" s="197"/>
      <c r="J22" s="197"/>
      <c r="K22" s="196"/>
    </row>
    <row r="23" spans="2:11">
      <c r="B23" s="122"/>
      <c r="C23" s="122"/>
      <c r="D23" s="122"/>
      <c r="E23" s="122"/>
      <c r="F23" s="122"/>
      <c r="G23" s="122"/>
      <c r="H23" s="122"/>
      <c r="I23" s="197"/>
      <c r="J23" s="197"/>
      <c r="K23" s="196"/>
    </row>
    <row r="24" spans="2:11">
      <c r="B24" s="122"/>
      <c r="C24" s="122"/>
      <c r="D24" s="122"/>
      <c r="E24" s="122"/>
      <c r="F24" s="122"/>
      <c r="G24" s="122"/>
      <c r="H24" s="122"/>
      <c r="I24" s="197"/>
      <c r="J24" s="197"/>
      <c r="K24" s="196"/>
    </row>
    <row r="25" spans="2:11">
      <c r="B25" s="122"/>
      <c r="C25" s="122"/>
      <c r="D25" s="122"/>
      <c r="E25" s="122"/>
      <c r="F25" s="122"/>
      <c r="G25" s="122"/>
      <c r="H25" s="122"/>
      <c r="I25" s="197"/>
      <c r="J25" s="197"/>
      <c r="K25" s="196"/>
    </row>
    <row r="26" spans="2:11">
      <c r="B26" s="122"/>
      <c r="C26" s="122"/>
      <c r="D26" s="122"/>
      <c r="E26" s="122"/>
      <c r="F26" s="122"/>
      <c r="G26" s="122"/>
      <c r="H26" s="122"/>
      <c r="I26" s="197"/>
      <c r="J26" s="197"/>
      <c r="K26" s="196"/>
    </row>
    <row r="27" spans="2:11">
      <c r="B27" s="122"/>
      <c r="C27" s="122"/>
      <c r="D27" s="122"/>
      <c r="E27" s="122"/>
      <c r="F27" s="122"/>
      <c r="G27" s="122"/>
      <c r="H27" s="122"/>
      <c r="I27" s="197"/>
      <c r="J27" s="197"/>
      <c r="K27" s="196"/>
    </row>
    <row r="28" spans="2:11">
      <c r="B28" s="122"/>
      <c r="C28" s="122"/>
      <c r="D28" s="122"/>
      <c r="E28" s="122"/>
      <c r="F28" s="122"/>
      <c r="G28" s="122"/>
      <c r="H28" s="122"/>
      <c r="I28" s="197"/>
      <c r="J28" s="197"/>
      <c r="K28" s="196"/>
    </row>
    <row r="29" spans="2:11">
      <c r="B29" s="122"/>
      <c r="C29" s="122"/>
      <c r="D29" s="122"/>
      <c r="E29" s="122"/>
      <c r="F29" s="122"/>
      <c r="G29" s="122"/>
      <c r="H29" s="122"/>
      <c r="I29" s="197"/>
      <c r="J29" s="197"/>
      <c r="K29" s="196"/>
    </row>
    <row r="30" spans="2:11">
      <c r="B30" s="122"/>
      <c r="C30" s="122"/>
      <c r="D30" s="122"/>
      <c r="E30" s="122"/>
      <c r="F30" s="122"/>
      <c r="G30" s="122"/>
      <c r="H30" s="122"/>
      <c r="I30" s="197"/>
      <c r="J30" s="197"/>
      <c r="K30" s="196"/>
    </row>
    <row r="31" spans="2:11">
      <c r="B31" s="122"/>
      <c r="C31" s="122"/>
      <c r="D31" s="122"/>
      <c r="E31" s="122"/>
      <c r="F31" s="122"/>
      <c r="G31" s="122"/>
      <c r="H31" s="122"/>
      <c r="I31" s="197"/>
      <c r="J31" s="197"/>
      <c r="K31" s="196"/>
    </row>
    <row r="32" spans="2:11">
      <c r="B32" s="122"/>
      <c r="C32" s="122"/>
      <c r="D32" s="122"/>
      <c r="E32" s="122"/>
      <c r="F32" s="122"/>
      <c r="G32" s="122"/>
      <c r="H32" s="122"/>
      <c r="I32" s="197"/>
      <c r="J32" s="197"/>
      <c r="K32" s="196"/>
    </row>
    <row r="33" spans="2:11">
      <c r="B33" s="122"/>
      <c r="C33" s="122"/>
      <c r="D33" s="122"/>
      <c r="E33" s="122"/>
      <c r="F33" s="122"/>
      <c r="G33" s="122"/>
      <c r="H33" s="122"/>
      <c r="I33" s="197"/>
      <c r="J33" s="197"/>
      <c r="K33" s="196"/>
    </row>
  </sheetData>
  <dataConsolidate/>
  <mergeCells count="5">
    <mergeCell ref="K2:K3"/>
    <mergeCell ref="J2:J3"/>
    <mergeCell ref="B2:B3"/>
    <mergeCell ref="C2:H2"/>
    <mergeCell ref="I2:I3"/>
  </mergeCells>
  <conditionalFormatting sqref="D1:D1048576">
    <cfRule type="cellIs" dxfId="4" priority="4" operator="equal">
      <formula>"Позитивное"</formula>
    </cfRule>
    <cfRule type="cellIs" dxfId="3" priority="5" operator="equal">
      <formula>"Негативное"</formula>
    </cfRule>
  </conditionalFormatting>
  <conditionalFormatting sqref="K1:K1048576">
    <cfRule type="cellIs" dxfId="2" priority="1" operator="equal">
      <formula>"Низкая"</formula>
    </cfRule>
    <cfRule type="cellIs" dxfId="1" priority="2" operator="equal">
      <formula>"Средняя"</formula>
    </cfRule>
    <cfRule type="cellIs" dxfId="0" priority="3" operator="equal">
      <formula>"Высокая"</formula>
    </cfRule>
  </conditionalFormatting>
  <dataValidations count="3">
    <dataValidation type="list" allowBlank="1" showInputMessage="1" showErrorMessage="1" sqref="K1:K1048576">
      <formula1>"Низкая, Средняя, Высокая"</formula1>
    </dataValidation>
    <dataValidation type="list" allowBlank="1" showInputMessage="1" showErrorMessage="1" sqref="D1:D1048576">
      <formula1>"Позитивное, Негативное"</formula1>
    </dataValidation>
    <dataValidation type="list" allowBlank="1" showInputMessage="1" showErrorMessage="1" sqref="E1:E1048576">
      <formula1>"Бюджет, Сроки, Скоуп, Качество, Другое"</formula1>
    </dataValidation>
  </dataValidations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B2:F27"/>
  <sheetViews>
    <sheetView tabSelected="1" workbookViewId="0">
      <selection activeCell="B2" sqref="B2:B3"/>
    </sheetView>
  </sheetViews>
  <sheetFormatPr defaultRowHeight="15"/>
  <cols>
    <col min="1" max="1" width="4.42578125" customWidth="1"/>
    <col min="2" max="2" width="25" customWidth="1"/>
    <col min="3" max="3" width="39.85546875" customWidth="1"/>
    <col min="4" max="4" width="30.28515625" customWidth="1"/>
    <col min="5" max="5" width="34.85546875" customWidth="1"/>
    <col min="6" max="6" width="29.7109375" customWidth="1"/>
  </cols>
  <sheetData>
    <row r="2" spans="2:6">
      <c r="B2" s="325" t="s">
        <v>225</v>
      </c>
      <c r="C2" s="325" t="s">
        <v>217</v>
      </c>
      <c r="D2" s="327" t="s">
        <v>218</v>
      </c>
      <c r="E2" s="327" t="s">
        <v>219</v>
      </c>
      <c r="F2" s="327" t="s">
        <v>220</v>
      </c>
    </row>
    <row r="3" spans="2:6">
      <c r="B3" s="326"/>
      <c r="C3" s="326"/>
      <c r="D3" s="328"/>
      <c r="E3" s="328"/>
      <c r="F3" s="328"/>
    </row>
    <row r="4" spans="2:6">
      <c r="B4" s="196"/>
      <c r="C4" s="196"/>
      <c r="D4" s="196"/>
      <c r="E4" s="196"/>
      <c r="F4" s="196"/>
    </row>
    <row r="5" spans="2:6">
      <c r="B5" s="196"/>
      <c r="C5" s="196"/>
      <c r="D5" s="196"/>
      <c r="E5" s="196"/>
      <c r="F5" s="196"/>
    </row>
    <row r="6" spans="2:6">
      <c r="B6" s="196"/>
      <c r="C6" s="196"/>
      <c r="D6" s="196"/>
      <c r="E6" s="196"/>
      <c r="F6" s="196"/>
    </row>
    <row r="7" spans="2:6">
      <c r="B7" s="196"/>
      <c r="C7" s="196"/>
      <c r="D7" s="196"/>
      <c r="E7" s="196"/>
      <c r="F7" s="196"/>
    </row>
    <row r="8" spans="2:6">
      <c r="B8" s="196"/>
      <c r="C8" s="196"/>
      <c r="D8" s="196"/>
      <c r="E8" s="196"/>
      <c r="F8" s="196"/>
    </row>
    <row r="9" spans="2:6">
      <c r="B9" s="196"/>
      <c r="C9" s="196"/>
      <c r="D9" s="196"/>
      <c r="E9" s="196"/>
      <c r="F9" s="196"/>
    </row>
    <row r="10" spans="2:6">
      <c r="B10" s="196"/>
      <c r="C10" s="196"/>
      <c r="D10" s="196"/>
      <c r="E10" s="196"/>
      <c r="F10" s="196"/>
    </row>
    <row r="11" spans="2:6">
      <c r="B11" s="196"/>
      <c r="C11" s="196"/>
      <c r="D11" s="196"/>
      <c r="E11" s="196"/>
      <c r="F11" s="196"/>
    </row>
    <row r="12" spans="2:6">
      <c r="B12" s="196"/>
      <c r="C12" s="196"/>
      <c r="D12" s="196"/>
      <c r="E12" s="196"/>
      <c r="F12" s="196"/>
    </row>
    <row r="13" spans="2:6">
      <c r="B13" s="196"/>
      <c r="C13" s="196"/>
      <c r="D13" s="196"/>
      <c r="E13" s="196"/>
      <c r="F13" s="196"/>
    </row>
    <row r="14" spans="2:6">
      <c r="B14" s="196"/>
      <c r="C14" s="196"/>
      <c r="D14" s="196"/>
      <c r="E14" s="196"/>
      <c r="F14" s="196"/>
    </row>
    <row r="15" spans="2:6">
      <c r="B15" s="196"/>
      <c r="C15" s="196"/>
      <c r="D15" s="196"/>
      <c r="E15" s="196"/>
      <c r="F15" s="196"/>
    </row>
    <row r="16" spans="2:6">
      <c r="B16" s="196"/>
      <c r="C16" s="196"/>
      <c r="D16" s="196"/>
      <c r="E16" s="196"/>
      <c r="F16" s="196"/>
    </row>
    <row r="17" spans="2:6">
      <c r="B17" s="196"/>
      <c r="C17" s="196"/>
      <c r="D17" s="196"/>
      <c r="E17" s="196"/>
      <c r="F17" s="196"/>
    </row>
    <row r="18" spans="2:6">
      <c r="B18" s="196"/>
      <c r="C18" s="196"/>
      <c r="D18" s="196"/>
      <c r="E18" s="196"/>
      <c r="F18" s="196"/>
    </row>
    <row r="19" spans="2:6">
      <c r="B19" s="196"/>
      <c r="C19" s="196"/>
      <c r="D19" s="196"/>
      <c r="E19" s="196"/>
      <c r="F19" s="196"/>
    </row>
    <row r="20" spans="2:6">
      <c r="B20" s="196"/>
      <c r="C20" s="196"/>
      <c r="D20" s="196"/>
      <c r="E20" s="196"/>
      <c r="F20" s="196"/>
    </row>
    <row r="21" spans="2:6">
      <c r="B21" s="196"/>
      <c r="C21" s="196"/>
      <c r="D21" s="196"/>
      <c r="E21" s="196"/>
      <c r="F21" s="196"/>
    </row>
    <row r="22" spans="2:6">
      <c r="B22" s="196"/>
      <c r="C22" s="196"/>
      <c r="D22" s="196"/>
      <c r="E22" s="196"/>
      <c r="F22" s="196"/>
    </row>
    <row r="23" spans="2:6">
      <c r="B23" s="196"/>
      <c r="C23" s="196"/>
      <c r="D23" s="196"/>
      <c r="E23" s="196"/>
      <c r="F23" s="196"/>
    </row>
    <row r="24" spans="2:6">
      <c r="B24" s="196"/>
      <c r="C24" s="196"/>
      <c r="D24" s="196"/>
      <c r="E24" s="196"/>
      <c r="F24" s="196"/>
    </row>
    <row r="25" spans="2:6">
      <c r="B25" s="196"/>
      <c r="C25" s="196"/>
      <c r="D25" s="196"/>
      <c r="E25" s="196"/>
      <c r="F25" s="196"/>
    </row>
    <row r="26" spans="2:6">
      <c r="B26" s="196"/>
      <c r="C26" s="196"/>
      <c r="D26" s="196"/>
      <c r="E26" s="196"/>
      <c r="F26" s="196"/>
    </row>
    <row r="27" spans="2:6">
      <c r="B27" s="196"/>
      <c r="C27" s="196"/>
      <c r="D27" s="196"/>
      <c r="E27" s="196"/>
      <c r="F27" s="196"/>
    </row>
  </sheetData>
  <mergeCells count="5">
    <mergeCell ref="B2:B3"/>
    <mergeCell ref="C2:C3"/>
    <mergeCell ref="D2:D3"/>
    <mergeCell ref="E2:E3"/>
    <mergeCell ref="F2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>
    <tabColor theme="0" tint="-0.14999847407452621"/>
  </sheetPr>
  <dimension ref="B2:I22"/>
  <sheetViews>
    <sheetView workbookViewId="0">
      <selection activeCell="J11" sqref="J11"/>
    </sheetView>
  </sheetViews>
  <sheetFormatPr defaultColWidth="8.7109375" defaultRowHeight="12"/>
  <cols>
    <col min="1" max="1" width="2.7109375" style="1" customWidth="1"/>
    <col min="2" max="6" width="14.7109375" style="1" customWidth="1"/>
    <col min="7" max="7" width="48.85546875" style="1" customWidth="1"/>
    <col min="8" max="8" width="18" style="1" customWidth="1"/>
    <col min="9" max="9" width="9.85546875" style="1" customWidth="1"/>
    <col min="10" max="10" width="12.7109375" style="1" customWidth="1"/>
    <col min="11" max="11" width="11.85546875" style="1" customWidth="1"/>
    <col min="12" max="12" width="12.7109375" style="1" customWidth="1"/>
    <col min="13" max="13" width="18.7109375" style="1" customWidth="1"/>
    <col min="14" max="14" width="13.42578125" style="1" customWidth="1"/>
    <col min="15" max="16384" width="8.7109375" style="1"/>
  </cols>
  <sheetData>
    <row r="2" spans="2:9" ht="25.5">
      <c r="B2" s="145" t="s">
        <v>13</v>
      </c>
      <c r="C2" s="146" t="s">
        <v>151</v>
      </c>
      <c r="D2" s="146" t="s">
        <v>152</v>
      </c>
      <c r="G2" s="18"/>
    </row>
    <row r="3" spans="2:9" ht="12.75">
      <c r="B3" s="147" t="s">
        <v>12</v>
      </c>
      <c r="C3" s="148"/>
      <c r="D3" s="148"/>
      <c r="G3" s="18"/>
    </row>
    <row r="4" spans="2:9" ht="12.75">
      <c r="B4" s="147" t="s">
        <v>11</v>
      </c>
      <c r="C4" s="148"/>
      <c r="D4" s="148"/>
      <c r="G4" s="18"/>
    </row>
    <row r="5" spans="2:9" ht="12.75">
      <c r="B5" s="147" t="s">
        <v>14</v>
      </c>
      <c r="C5" s="148"/>
      <c r="D5" s="148"/>
    </row>
    <row r="6" spans="2:9" ht="12.75">
      <c r="B6" s="147" t="s">
        <v>7</v>
      </c>
      <c r="C6" s="148"/>
      <c r="D6" s="148"/>
    </row>
    <row r="7" spans="2:9" ht="12.75">
      <c r="B7" s="145" t="s">
        <v>134</v>
      </c>
      <c r="C7" s="149">
        <f>SUM(C3:C6)</f>
        <v>0</v>
      </c>
      <c r="D7" s="149">
        <f>SUM(D3:D6)</f>
        <v>0</v>
      </c>
    </row>
    <row r="9" spans="2:9" s="2" customFormat="1" ht="12.75">
      <c r="B9" s="150" t="s">
        <v>5</v>
      </c>
      <c r="C9" s="150" t="s">
        <v>0</v>
      </c>
      <c r="D9" s="150" t="s">
        <v>4</v>
      </c>
      <c r="E9" s="150" t="s">
        <v>8</v>
      </c>
      <c r="F9" s="150" t="s">
        <v>1</v>
      </c>
      <c r="G9" s="151" t="s">
        <v>57</v>
      </c>
      <c r="H9" s="151" t="s">
        <v>58</v>
      </c>
      <c r="I9" s="17"/>
    </row>
    <row r="10" spans="2:9" s="3" customFormat="1" ht="12.75">
      <c r="B10" s="152"/>
      <c r="C10" s="153"/>
      <c r="D10" s="154"/>
      <c r="E10" s="154"/>
      <c r="F10" s="154"/>
      <c r="G10" s="153"/>
      <c r="H10" s="155"/>
      <c r="I10" s="10"/>
    </row>
    <row r="11" spans="2:9" s="3" customFormat="1" ht="12.75">
      <c r="B11" s="152">
        <v>1</v>
      </c>
      <c r="C11" s="153"/>
      <c r="D11" s="154"/>
      <c r="E11" s="154"/>
      <c r="F11" s="154"/>
      <c r="G11" s="153"/>
      <c r="H11" s="155"/>
      <c r="I11" s="10"/>
    </row>
    <row r="12" spans="2:9" s="3" customFormat="1" ht="12.75">
      <c r="B12" s="152">
        <v>2</v>
      </c>
      <c r="C12" s="153"/>
      <c r="D12" s="154"/>
      <c r="E12" s="154"/>
      <c r="F12" s="154"/>
      <c r="G12" s="153"/>
      <c r="H12" s="155"/>
      <c r="I12" s="10"/>
    </row>
    <row r="13" spans="2:9" s="3" customFormat="1" ht="12.75">
      <c r="B13" s="152">
        <v>3</v>
      </c>
      <c r="C13" s="153"/>
      <c r="D13" s="154"/>
      <c r="E13" s="154"/>
      <c r="F13" s="154"/>
      <c r="G13" s="153"/>
      <c r="H13" s="155"/>
      <c r="I13" s="10"/>
    </row>
    <row r="14" spans="2:9" s="3" customFormat="1" ht="12.75">
      <c r="B14" s="152">
        <v>4</v>
      </c>
      <c r="C14" s="153"/>
      <c r="D14" s="154"/>
      <c r="E14" s="154"/>
      <c r="F14" s="154"/>
      <c r="G14" s="153"/>
      <c r="H14" s="155"/>
      <c r="I14" s="10"/>
    </row>
    <row r="15" spans="2:9" s="3" customFormat="1" ht="12.75">
      <c r="B15" s="152">
        <v>5</v>
      </c>
      <c r="C15" s="153"/>
      <c r="D15" s="154"/>
      <c r="E15" s="154"/>
      <c r="F15" s="154"/>
      <c r="G15" s="153"/>
      <c r="H15" s="155"/>
      <c r="I15" s="10"/>
    </row>
    <row r="16" spans="2:9" s="3" customFormat="1" ht="12.75">
      <c r="B16" s="152">
        <v>6</v>
      </c>
      <c r="C16" s="153"/>
      <c r="D16" s="154"/>
      <c r="E16" s="154"/>
      <c r="F16" s="154"/>
      <c r="G16" s="153"/>
      <c r="H16" s="155"/>
      <c r="I16" s="10"/>
    </row>
    <row r="17" spans="2:9" s="3" customFormat="1" ht="12.75">
      <c r="B17" s="152">
        <v>7</v>
      </c>
      <c r="C17" s="153"/>
      <c r="D17" s="154"/>
      <c r="E17" s="154"/>
      <c r="F17" s="156"/>
      <c r="G17" s="153"/>
      <c r="H17" s="155"/>
      <c r="I17" s="10"/>
    </row>
    <row r="18" spans="2:9" s="2" customFormat="1" ht="15" customHeight="1">
      <c r="B18" s="331" t="s">
        <v>134</v>
      </c>
      <c r="C18" s="332"/>
      <c r="D18" s="333">
        <v>1</v>
      </c>
      <c r="E18" s="333"/>
      <c r="F18" s="333"/>
      <c r="G18" s="333"/>
      <c r="H18" s="333"/>
      <c r="I18" s="3"/>
    </row>
    <row r="19" spans="2:9" s="2" customFormat="1" ht="12.75">
      <c r="B19" s="4"/>
      <c r="C19" s="4"/>
      <c r="D19" s="4"/>
      <c r="E19" s="4"/>
      <c r="F19" s="4"/>
      <c r="G19" s="4"/>
    </row>
    <row r="20" spans="2:9" s="2" customFormat="1" ht="12.75">
      <c r="B20" s="4"/>
      <c r="C20" s="4"/>
      <c r="D20" s="4"/>
      <c r="E20" s="4"/>
      <c r="F20" s="4"/>
      <c r="G20" s="4"/>
    </row>
    <row r="21" spans="2:9" s="2" customFormat="1" ht="12.75">
      <c r="B21" s="4"/>
      <c r="C21" s="4"/>
      <c r="D21" s="4"/>
      <c r="E21" s="4"/>
      <c r="F21" s="4"/>
      <c r="G21" s="4"/>
    </row>
    <row r="22" spans="2:9" s="2" customFormat="1" ht="12.75">
      <c r="B22" s="4"/>
      <c r="C22" s="4"/>
      <c r="D22" s="4"/>
      <c r="E22" s="4"/>
      <c r="F22" s="4"/>
      <c r="G22" s="4"/>
    </row>
  </sheetData>
  <mergeCells count="2">
    <mergeCell ref="B18:C18"/>
    <mergeCell ref="D18:H18"/>
  </mergeCells>
  <pageMargins left="0.7" right="0.7" top="0.75" bottom="0.75" header="0.3" footer="0.3"/>
  <pageSetup paperSize="9" orientation="portrait"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B1:F10"/>
  <sheetViews>
    <sheetView topLeftCell="A7" workbookViewId="0">
      <selection activeCell="B8" sqref="B8:F10"/>
    </sheetView>
  </sheetViews>
  <sheetFormatPr defaultRowHeight="15"/>
  <cols>
    <col min="1" max="1" width="3" customWidth="1"/>
    <col min="2" max="2" width="33.7109375" customWidth="1"/>
    <col min="3" max="3" width="24.7109375" customWidth="1"/>
    <col min="4" max="4" width="26.85546875" customWidth="1"/>
    <col min="5" max="5" width="19" customWidth="1"/>
    <col min="6" max="6" width="36.140625" customWidth="1"/>
  </cols>
  <sheetData>
    <row r="1" spans="2:6" ht="15.75" thickBot="1"/>
    <row r="2" spans="2:6">
      <c r="B2" s="337" t="s">
        <v>10</v>
      </c>
      <c r="C2" s="338"/>
      <c r="D2" s="338"/>
      <c r="E2" s="338"/>
      <c r="F2" s="339"/>
    </row>
    <row r="3" spans="2:6" ht="17.25" customHeight="1" thickBot="1">
      <c r="B3" s="157" t="s">
        <v>26</v>
      </c>
      <c r="C3" s="158" t="s">
        <v>0</v>
      </c>
      <c r="D3" s="158" t="s">
        <v>23</v>
      </c>
      <c r="E3" s="158" t="s">
        <v>24</v>
      </c>
      <c r="F3" s="159" t="s">
        <v>10</v>
      </c>
    </row>
    <row r="4" spans="2:6" ht="15.75" thickBot="1">
      <c r="B4" s="334" t="s">
        <v>206</v>
      </c>
      <c r="C4" s="340"/>
      <c r="D4" s="340"/>
      <c r="E4" s="340"/>
      <c r="F4" s="341"/>
    </row>
    <row r="5" spans="2:6" ht="39" customHeight="1">
      <c r="B5" s="160"/>
      <c r="C5" s="160"/>
      <c r="D5" s="161"/>
      <c r="E5" s="161"/>
      <c r="F5" s="160"/>
    </row>
    <row r="6" spans="2:6" ht="38.25" customHeight="1">
      <c r="B6" s="160"/>
      <c r="C6" s="160"/>
      <c r="D6" s="160"/>
      <c r="E6" s="160"/>
      <c r="F6" s="160"/>
    </row>
    <row r="7" spans="2:6" ht="48" customHeight="1" thickBot="1">
      <c r="B7" s="64"/>
      <c r="C7" s="65"/>
      <c r="D7" s="65"/>
      <c r="E7" s="65"/>
      <c r="F7" s="66"/>
    </row>
    <row r="8" spans="2:6" ht="15.75" thickBot="1">
      <c r="B8" s="334" t="s">
        <v>25</v>
      </c>
      <c r="C8" s="335"/>
      <c r="D8" s="335"/>
      <c r="E8" s="335"/>
      <c r="F8" s="336"/>
    </row>
    <row r="9" spans="2:6" ht="55.5" customHeight="1">
      <c r="B9" s="160"/>
      <c r="C9" s="160"/>
      <c r="D9" s="160"/>
      <c r="E9" s="160"/>
      <c r="F9" s="160"/>
    </row>
    <row r="10" spans="2:6" ht="41.25" customHeight="1">
      <c r="B10" s="160"/>
      <c r="C10" s="160"/>
      <c r="D10" s="160"/>
      <c r="E10" s="160"/>
      <c r="F10" s="160"/>
    </row>
  </sheetData>
  <mergeCells count="3">
    <mergeCell ref="B8:F8"/>
    <mergeCell ref="B2:F2"/>
    <mergeCell ref="B4:F4"/>
  </mergeCells>
  <pageMargins left="0.7" right="0.7" top="0.75" bottom="0.75" header="0.3" footer="0.3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B1:N32"/>
  <sheetViews>
    <sheetView topLeftCell="D1" workbookViewId="0">
      <selection activeCell="H9" sqref="H9"/>
    </sheetView>
  </sheetViews>
  <sheetFormatPr defaultRowHeight="15"/>
  <cols>
    <col min="1" max="1" width="2.85546875" style="13" customWidth="1"/>
    <col min="2" max="2" width="20" style="13" bestFit="1" customWidth="1"/>
    <col min="3" max="3" width="15.140625" style="13" bestFit="1" customWidth="1"/>
    <col min="4" max="4" width="24.42578125" style="13" bestFit="1" customWidth="1"/>
    <col min="5" max="6" width="15.140625" style="13" bestFit="1" customWidth="1"/>
    <col min="7" max="7" width="22.5703125" style="13" bestFit="1" customWidth="1"/>
    <col min="8" max="9" width="18.7109375" style="13" customWidth="1"/>
    <col min="10" max="10" width="22.5703125" style="13" bestFit="1" customWidth="1"/>
    <col min="11" max="11" width="24.42578125" style="13" bestFit="1" customWidth="1"/>
    <col min="12" max="12" width="19.85546875" style="13" bestFit="1" customWidth="1"/>
    <col min="13" max="13" width="9.140625" style="13"/>
    <col min="14" max="14" width="16.7109375" style="13" customWidth="1"/>
    <col min="15" max="16384" width="9.140625" style="13"/>
  </cols>
  <sheetData>
    <row r="1" spans="2:14" ht="15.75" thickBot="1"/>
    <row r="2" spans="2:14" ht="15.75" customHeight="1" thickBot="1">
      <c r="B2" s="277" t="s">
        <v>131</v>
      </c>
      <c r="C2" s="279"/>
      <c r="D2" s="346" t="s">
        <v>132</v>
      </c>
      <c r="E2" s="348" t="s">
        <v>133</v>
      </c>
      <c r="F2" s="349"/>
      <c r="G2" s="349"/>
      <c r="H2" s="350"/>
      <c r="J2" s="162" t="s">
        <v>43</v>
      </c>
      <c r="K2" s="163" t="s">
        <v>138</v>
      </c>
      <c r="L2" s="162" t="s">
        <v>137</v>
      </c>
    </row>
    <row r="3" spans="2:14" ht="15" customHeight="1" thickBot="1">
      <c r="B3" s="280"/>
      <c r="C3" s="282"/>
      <c r="D3" s="347"/>
      <c r="E3" s="168" t="s">
        <v>35</v>
      </c>
      <c r="F3" s="168" t="s">
        <v>37</v>
      </c>
      <c r="G3" s="168" t="s">
        <v>39</v>
      </c>
      <c r="H3" s="169" t="s">
        <v>41</v>
      </c>
      <c r="J3" s="70" t="s">
        <v>28</v>
      </c>
      <c r="K3" s="164" t="s">
        <v>146</v>
      </c>
      <c r="L3" s="67" t="s">
        <v>80</v>
      </c>
    </row>
    <row r="4" spans="2:14" ht="15.75" thickBot="1">
      <c r="B4" s="163" t="s">
        <v>85</v>
      </c>
      <c r="C4" s="163" t="s">
        <v>53</v>
      </c>
      <c r="D4" s="170" t="s">
        <v>34</v>
      </c>
      <c r="E4" s="171"/>
      <c r="F4" s="171"/>
      <c r="G4" s="172"/>
      <c r="H4" s="173"/>
      <c r="J4" s="68" t="s">
        <v>29</v>
      </c>
      <c r="K4" s="165" t="s">
        <v>45</v>
      </c>
      <c r="L4" s="68" t="s">
        <v>83</v>
      </c>
    </row>
    <row r="5" spans="2:14">
      <c r="B5" s="174" t="s">
        <v>35</v>
      </c>
      <c r="C5" s="174" t="s">
        <v>54</v>
      </c>
      <c r="D5" s="175" t="s">
        <v>36</v>
      </c>
      <c r="E5" s="176"/>
      <c r="F5" s="177"/>
      <c r="G5" s="178"/>
      <c r="H5" s="179"/>
      <c r="J5" s="68" t="s">
        <v>30</v>
      </c>
      <c r="K5" s="166" t="s">
        <v>48</v>
      </c>
      <c r="L5" s="68" t="s">
        <v>81</v>
      </c>
    </row>
    <row r="6" spans="2:14" ht="15.75" thickBot="1">
      <c r="B6" s="180" t="s">
        <v>37</v>
      </c>
      <c r="C6" s="180" t="s">
        <v>55</v>
      </c>
      <c r="D6" s="175" t="s">
        <v>38</v>
      </c>
      <c r="E6" s="177"/>
      <c r="F6" s="177"/>
      <c r="G6" s="178"/>
      <c r="H6" s="179"/>
      <c r="J6" s="68" t="s">
        <v>51</v>
      </c>
      <c r="K6" s="167" t="s">
        <v>207</v>
      </c>
      <c r="L6" s="69" t="s">
        <v>82</v>
      </c>
    </row>
    <row r="7" spans="2:14" ht="15.75" thickBot="1">
      <c r="B7" s="181" t="s">
        <v>39</v>
      </c>
      <c r="C7" s="181" t="s">
        <v>56</v>
      </c>
      <c r="D7" s="182" t="s">
        <v>40</v>
      </c>
      <c r="E7" s="183"/>
      <c r="F7" s="184"/>
      <c r="G7" s="184"/>
      <c r="H7" s="185"/>
      <c r="J7" s="68" t="s">
        <v>9</v>
      </c>
      <c r="K7" s="167" t="s">
        <v>15</v>
      </c>
    </row>
    <row r="8" spans="2:14" ht="15.75" thickBot="1">
      <c r="E8" s="186"/>
      <c r="J8" s="69" t="s">
        <v>52</v>
      </c>
    </row>
    <row r="9" spans="2:14" ht="15.75" thickBot="1">
      <c r="B9" s="250" t="s">
        <v>136</v>
      </c>
      <c r="C9" s="251"/>
      <c r="D9" s="251"/>
      <c r="E9" s="252"/>
      <c r="G9" s="162" t="s">
        <v>197</v>
      </c>
    </row>
    <row r="10" spans="2:14" ht="15.75" thickBot="1">
      <c r="B10" s="187" t="s">
        <v>56</v>
      </c>
      <c r="C10" s="71">
        <v>44</v>
      </c>
      <c r="D10" s="353" t="s">
        <v>42</v>
      </c>
      <c r="E10" s="354"/>
      <c r="G10" s="67" t="s">
        <v>81</v>
      </c>
      <c r="J10" s="162" t="s">
        <v>147</v>
      </c>
      <c r="K10" s="162" t="s">
        <v>155</v>
      </c>
      <c r="L10" s="162" t="s">
        <v>161</v>
      </c>
      <c r="N10" s="162" t="s">
        <v>221</v>
      </c>
    </row>
    <row r="11" spans="2:14">
      <c r="B11" s="188" t="s">
        <v>55</v>
      </c>
      <c r="C11" s="72">
        <v>55</v>
      </c>
      <c r="D11" s="351" t="s">
        <v>44</v>
      </c>
      <c r="E11" s="352"/>
      <c r="G11" s="68" t="s">
        <v>198</v>
      </c>
      <c r="J11" s="70" t="s">
        <v>46</v>
      </c>
      <c r="K11" s="67" t="s">
        <v>156</v>
      </c>
      <c r="L11" s="67" t="s">
        <v>162</v>
      </c>
      <c r="N11" s="67" t="s">
        <v>222</v>
      </c>
    </row>
    <row r="12" spans="2:14" ht="15.75" thickBot="1">
      <c r="B12" s="189" t="s">
        <v>54</v>
      </c>
      <c r="C12" s="73">
        <v>75</v>
      </c>
      <c r="D12" s="344" t="s">
        <v>47</v>
      </c>
      <c r="E12" s="345"/>
      <c r="G12" s="68" t="s">
        <v>199</v>
      </c>
      <c r="J12" s="67" t="s">
        <v>148</v>
      </c>
      <c r="K12" s="68" t="s">
        <v>135</v>
      </c>
      <c r="L12" s="69" t="s">
        <v>163</v>
      </c>
      <c r="N12" s="68" t="s">
        <v>223</v>
      </c>
    </row>
    <row r="13" spans="2:14" ht="15.75" thickBot="1">
      <c r="G13" s="74" t="s">
        <v>82</v>
      </c>
      <c r="J13" s="67" t="s">
        <v>49</v>
      </c>
      <c r="K13" s="69" t="s">
        <v>157</v>
      </c>
      <c r="N13" s="69" t="s">
        <v>224</v>
      </c>
    </row>
    <row r="14" spans="2:14">
      <c r="E14" s="12"/>
      <c r="F14" s="12"/>
      <c r="J14" s="67" t="s">
        <v>149</v>
      </c>
      <c r="K14" s="190"/>
    </row>
    <row r="15" spans="2:14">
      <c r="J15" s="67" t="s">
        <v>50</v>
      </c>
      <c r="K15" s="190"/>
    </row>
    <row r="16" spans="2:14" ht="15.75" thickBot="1">
      <c r="J16" s="74" t="s">
        <v>150</v>
      </c>
      <c r="K16" s="190"/>
    </row>
    <row r="18" spans="2:12" ht="28.5">
      <c r="B18" s="191" t="s">
        <v>5</v>
      </c>
      <c r="C18" s="191" t="s">
        <v>164</v>
      </c>
      <c r="D18" s="342" t="s">
        <v>165</v>
      </c>
      <c r="E18" s="342"/>
      <c r="F18" s="342"/>
      <c r="G18" s="342" t="s">
        <v>166</v>
      </c>
      <c r="H18" s="342"/>
      <c r="I18" s="342"/>
      <c r="J18" s="342" t="s">
        <v>167</v>
      </c>
      <c r="K18" s="342"/>
    </row>
    <row r="19" spans="2:12" ht="30.75" customHeight="1">
      <c r="B19" s="192">
        <v>1</v>
      </c>
      <c r="C19" s="193" t="s">
        <v>168</v>
      </c>
      <c r="D19" s="343" t="s">
        <v>169</v>
      </c>
      <c r="E19" s="343"/>
      <c r="F19" s="343"/>
      <c r="G19" s="343" t="s">
        <v>170</v>
      </c>
      <c r="H19" s="343"/>
      <c r="I19" s="343"/>
      <c r="J19" s="343" t="s">
        <v>171</v>
      </c>
      <c r="K19" s="343"/>
    </row>
    <row r="20" spans="2:12" ht="79.5" customHeight="1">
      <c r="B20" s="192">
        <f>B19+1</f>
        <v>2</v>
      </c>
      <c r="C20" s="193" t="s">
        <v>172</v>
      </c>
      <c r="D20" s="343" t="s">
        <v>173</v>
      </c>
      <c r="E20" s="343"/>
      <c r="F20" s="343"/>
      <c r="G20" s="343" t="s">
        <v>174</v>
      </c>
      <c r="H20" s="343"/>
      <c r="I20" s="343"/>
      <c r="J20" s="343" t="s">
        <v>175</v>
      </c>
      <c r="K20" s="343"/>
    </row>
    <row r="21" spans="2:12" ht="62.25" customHeight="1">
      <c r="B21" s="192">
        <f>B20+1</f>
        <v>3</v>
      </c>
      <c r="C21" s="193" t="s">
        <v>176</v>
      </c>
      <c r="D21" s="355" t="s">
        <v>177</v>
      </c>
      <c r="E21" s="356"/>
      <c r="F21" s="357"/>
      <c r="G21" s="343" t="s">
        <v>178</v>
      </c>
      <c r="H21" s="343"/>
      <c r="I21" s="343"/>
      <c r="J21" s="343" t="s">
        <v>179</v>
      </c>
      <c r="K21" s="343"/>
    </row>
    <row r="22" spans="2:12" ht="74.25" customHeight="1">
      <c r="B22" s="192">
        <f>B21+1</f>
        <v>4</v>
      </c>
      <c r="C22" s="193" t="s">
        <v>180</v>
      </c>
      <c r="D22" s="343" t="s">
        <v>181</v>
      </c>
      <c r="E22" s="343"/>
      <c r="F22" s="343"/>
      <c r="G22" s="343" t="s">
        <v>182</v>
      </c>
      <c r="H22" s="343"/>
      <c r="I22" s="343"/>
      <c r="J22" s="343" t="s">
        <v>183</v>
      </c>
      <c r="K22" s="343"/>
    </row>
    <row r="23" spans="2:12">
      <c r="B23" s="192">
        <f>B22+1</f>
        <v>5</v>
      </c>
      <c r="C23" s="193" t="s">
        <v>185</v>
      </c>
      <c r="D23" s="343" t="s">
        <v>170</v>
      </c>
      <c r="E23" s="343"/>
      <c r="F23" s="343"/>
      <c r="G23" s="343"/>
      <c r="H23" s="343"/>
      <c r="I23" s="343"/>
      <c r="J23" s="343" t="s">
        <v>184</v>
      </c>
      <c r="K23" s="343"/>
    </row>
    <row r="24" spans="2:12"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</row>
    <row r="25" spans="2:12"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</row>
    <row r="26" spans="2:12"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</row>
    <row r="27" spans="2:12"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</row>
    <row r="28" spans="2:12"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</row>
    <row r="29" spans="2:12"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</row>
    <row r="30" spans="2:12"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</row>
    <row r="31" spans="2:12"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</row>
    <row r="32" spans="2:12"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</row>
  </sheetData>
  <mergeCells count="25">
    <mergeCell ref="D23:F23"/>
    <mergeCell ref="G23:I23"/>
    <mergeCell ref="J23:K23"/>
    <mergeCell ref="D21:F21"/>
    <mergeCell ref="G21:I21"/>
    <mergeCell ref="J21:K21"/>
    <mergeCell ref="D22:F22"/>
    <mergeCell ref="G22:I22"/>
    <mergeCell ref="J22:K22"/>
    <mergeCell ref="B2:C3"/>
    <mergeCell ref="E2:H2"/>
    <mergeCell ref="B9:E9"/>
    <mergeCell ref="D11:E11"/>
    <mergeCell ref="D10:E10"/>
    <mergeCell ref="D18:F18"/>
    <mergeCell ref="D19:F19"/>
    <mergeCell ref="D20:F20"/>
    <mergeCell ref="D12:E12"/>
    <mergeCell ref="D2:D3"/>
    <mergeCell ref="J18:K18"/>
    <mergeCell ref="J19:K19"/>
    <mergeCell ref="J20:K20"/>
    <mergeCell ref="G18:I18"/>
    <mergeCell ref="G19:I19"/>
    <mergeCell ref="G20:I20"/>
  </mergeCells>
  <pageMargins left="0.7" right="0.7" top="0.75" bottom="0.75" header="0.3" footer="0.3"/>
  <pageSetup paperSize="9" orientation="portrait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Титул</vt:lpstr>
      <vt:lpstr>Статус проекта</vt:lpstr>
      <vt:lpstr>Риски, инциденты, изменения</vt:lpstr>
      <vt:lpstr>Журнал уроков</vt:lpstr>
      <vt:lpstr>Журнал примененных уроков</vt:lpstr>
      <vt:lpstr>Команда</vt:lpstr>
      <vt:lpstr>Контакты</vt:lpstr>
      <vt:lpstr>Служебное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snakebsd</cp:lastModifiedBy>
  <dcterms:created xsi:type="dcterms:W3CDTF">2014-01-21T14:53:26Z</dcterms:created>
  <dcterms:modified xsi:type="dcterms:W3CDTF">2015-10-27T11:22:56Z</dcterms:modified>
</cp:coreProperties>
</file>